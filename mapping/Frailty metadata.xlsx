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Dropbox/ADAPT-HF/Master HDCP files/"/>
    </mc:Choice>
  </mc:AlternateContent>
  <xr:revisionPtr revIDLastSave="0" documentId="13_ncr:1_{276211C3-5180-E94D-AF17-358206A0C395}" xr6:coauthVersionLast="47" xr6:coauthVersionMax="47" xr10:uidLastSave="{00000000-0000-0000-0000-000000000000}"/>
  <bookViews>
    <workbookView xWindow="17280" yWindow="760" windowWidth="41000" windowHeight="24720" firstSheet="4" activeTab="17" xr2:uid="{BF9AE75F-F9A1-6448-8EB1-86B2F21178B6}"/>
  </bookViews>
  <sheets>
    <sheet name="Scale completeness" sheetId="10" r:id="rId1"/>
    <sheet name="All scales all studies" sheetId="2" r:id="rId2"/>
    <sheet name="Brim" sheetId="8" r:id="rId3"/>
    <sheet name="CHS Scores" sheetId="6" r:id="rId4"/>
    <sheet name="ISEL" sheetId="9" r:id="rId5"/>
    <sheet name="HALFt" sheetId="7" r:id="rId6"/>
    <sheet name="ESSI" sheetId="3" r:id="rId7"/>
    <sheet name="BSNI" sheetId="4" r:id="rId8"/>
    <sheet name="Makizako" sheetId="5" r:id="rId9"/>
    <sheet name="Lubben SNS" sheetId="17" r:id="rId10"/>
    <sheet name="FRAIL" sheetId="11" r:id="rId11"/>
    <sheet name="Fried" sheetId="12" r:id="rId12"/>
    <sheet name="Rockwood" sheetId="13" r:id="rId13"/>
    <sheet name="Tilburg" sheetId="16" r:id="rId14"/>
    <sheet name="FIFE" sheetId="15" r:id="rId15"/>
    <sheet name="Barthe" sheetId="14" r:id="rId16"/>
    <sheet name="Scales + visits" sheetId="1" r:id="rId17"/>
    <sheet name="Functional activities qstnre" sheetId="19" r:id="rId18"/>
  </sheets>
  <definedNames>
    <definedName name="_xlnm._FilterDatabase" localSheetId="1" hidden="1">'All scales all studies'!$A$1:$V$99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7" l="1"/>
  <c r="D2" i="17"/>
  <c r="E2" i="17"/>
  <c r="E13" i="17" s="1"/>
  <c r="D16" i="10" s="1"/>
  <c r="F2" i="17"/>
  <c r="G2" i="17"/>
  <c r="G13" i="17" s="1"/>
  <c r="F16" i="10" s="1"/>
  <c r="C3" i="17"/>
  <c r="D3" i="17"/>
  <c r="D13" i="17" s="1"/>
  <c r="C16" i="10" s="1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F13" i="17" s="1"/>
  <c r="E16" i="10" s="1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B12" i="17"/>
  <c r="B11" i="17"/>
  <c r="B10" i="17"/>
  <c r="B9" i="17"/>
  <c r="B8" i="17"/>
  <c r="B7" i="17"/>
  <c r="B6" i="17"/>
  <c r="B5" i="17"/>
  <c r="B4" i="17"/>
  <c r="B3" i="17"/>
  <c r="B2" i="17"/>
  <c r="A12" i="17"/>
  <c r="A11" i="17"/>
  <c r="A10" i="17"/>
  <c r="A9" i="17"/>
  <c r="A8" i="17"/>
  <c r="A7" i="17"/>
  <c r="A6" i="17"/>
  <c r="A5" i="17"/>
  <c r="A4" i="17"/>
  <c r="A3" i="17"/>
  <c r="A2" i="17"/>
  <c r="D2" i="16"/>
  <c r="E2" i="16"/>
  <c r="F2" i="16"/>
  <c r="G2" i="16"/>
  <c r="D3" i="16"/>
  <c r="E3" i="16"/>
  <c r="F3" i="16"/>
  <c r="G3" i="16"/>
  <c r="D4" i="16"/>
  <c r="E4" i="16"/>
  <c r="F4" i="16"/>
  <c r="G4" i="16"/>
  <c r="D5" i="16"/>
  <c r="E5" i="16"/>
  <c r="F5" i="16"/>
  <c r="G5" i="16"/>
  <c r="D6" i="16"/>
  <c r="E6" i="16"/>
  <c r="F6" i="16"/>
  <c r="G6" i="16"/>
  <c r="D7" i="16"/>
  <c r="E7" i="16"/>
  <c r="F7" i="16"/>
  <c r="G7" i="16"/>
  <c r="D8" i="16"/>
  <c r="E8" i="16"/>
  <c r="F8" i="16"/>
  <c r="G8" i="16"/>
  <c r="D9" i="16"/>
  <c r="E9" i="16"/>
  <c r="F9" i="16"/>
  <c r="G9" i="16"/>
  <c r="D10" i="16"/>
  <c r="E10" i="16"/>
  <c r="F10" i="16"/>
  <c r="G10" i="16"/>
  <c r="D11" i="16"/>
  <c r="E11" i="16"/>
  <c r="F11" i="16"/>
  <c r="G11" i="16"/>
  <c r="D12" i="16"/>
  <c r="E12" i="16"/>
  <c r="F12" i="16"/>
  <c r="G12" i="16"/>
  <c r="D13" i="16"/>
  <c r="E13" i="16"/>
  <c r="F13" i="16"/>
  <c r="G13" i="16"/>
  <c r="D14" i="16"/>
  <c r="E14" i="16"/>
  <c r="F14" i="16"/>
  <c r="G14" i="16"/>
  <c r="D15" i="16"/>
  <c r="E15" i="16"/>
  <c r="F15" i="16"/>
  <c r="G15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A15" i="16"/>
  <c r="A13" i="16"/>
  <c r="A14" i="16"/>
  <c r="A12" i="16"/>
  <c r="A11" i="16"/>
  <c r="A10" i="16"/>
  <c r="A9" i="16"/>
  <c r="A8" i="16"/>
  <c r="A7" i="16"/>
  <c r="A6" i="16"/>
  <c r="A5" i="16"/>
  <c r="A4" i="16"/>
  <c r="A3" i="16"/>
  <c r="A2" i="16"/>
  <c r="C2" i="15"/>
  <c r="D2" i="15"/>
  <c r="E2" i="15"/>
  <c r="F2" i="15"/>
  <c r="G2" i="15"/>
  <c r="D3" i="15"/>
  <c r="E3" i="15"/>
  <c r="F3" i="15"/>
  <c r="G3" i="15"/>
  <c r="D4" i="15"/>
  <c r="E4" i="15"/>
  <c r="F4" i="15"/>
  <c r="G4" i="15"/>
  <c r="D5" i="15"/>
  <c r="E5" i="15"/>
  <c r="F5" i="15"/>
  <c r="G5" i="15"/>
  <c r="D6" i="15"/>
  <c r="E6" i="15"/>
  <c r="F6" i="15"/>
  <c r="G6" i="15"/>
  <c r="D7" i="15"/>
  <c r="E7" i="15"/>
  <c r="F7" i="15"/>
  <c r="G7" i="15"/>
  <c r="D8" i="15"/>
  <c r="E8" i="15"/>
  <c r="F8" i="15"/>
  <c r="G8" i="15"/>
  <c r="D9" i="15"/>
  <c r="E9" i="15"/>
  <c r="F9" i="15"/>
  <c r="G9" i="15"/>
  <c r="D10" i="15"/>
  <c r="E10" i="15"/>
  <c r="F10" i="15"/>
  <c r="G10" i="15"/>
  <c r="D11" i="15"/>
  <c r="E11" i="15"/>
  <c r="F11" i="15"/>
  <c r="G11" i="15"/>
  <c r="D12" i="15"/>
  <c r="E12" i="15"/>
  <c r="F12" i="15"/>
  <c r="G12" i="15"/>
  <c r="C12" i="15"/>
  <c r="C11" i="15"/>
  <c r="C10" i="15"/>
  <c r="C9" i="15"/>
  <c r="C8" i="15"/>
  <c r="C7" i="15"/>
  <c r="C6" i="15"/>
  <c r="C5" i="15"/>
  <c r="C4" i="15"/>
  <c r="C3" i="15"/>
  <c r="B12" i="15"/>
  <c r="B11" i="15"/>
  <c r="B10" i="15"/>
  <c r="B9" i="15"/>
  <c r="B8" i="15"/>
  <c r="B7" i="15"/>
  <c r="B6" i="15"/>
  <c r="B5" i="15"/>
  <c r="B4" i="15"/>
  <c r="B3" i="15"/>
  <c r="B2" i="15"/>
  <c r="A12" i="15"/>
  <c r="A11" i="15"/>
  <c r="A10" i="15"/>
  <c r="A9" i="15"/>
  <c r="A8" i="15"/>
  <c r="A7" i="15"/>
  <c r="A6" i="15"/>
  <c r="A5" i="15"/>
  <c r="A4" i="15"/>
  <c r="A3" i="15"/>
  <c r="A2" i="15"/>
  <c r="D2" i="14"/>
  <c r="E2" i="14"/>
  <c r="F2" i="14"/>
  <c r="G2" i="14"/>
  <c r="D3" i="14"/>
  <c r="E3" i="14"/>
  <c r="F3" i="14"/>
  <c r="G3" i="14"/>
  <c r="D4" i="14"/>
  <c r="E4" i="14"/>
  <c r="F4" i="14"/>
  <c r="G4" i="14"/>
  <c r="D5" i="14"/>
  <c r="E5" i="14"/>
  <c r="F5" i="14"/>
  <c r="G5" i="14"/>
  <c r="D6" i="14"/>
  <c r="E6" i="14"/>
  <c r="F6" i="14"/>
  <c r="G6" i="14"/>
  <c r="D7" i="14"/>
  <c r="E7" i="14"/>
  <c r="F7" i="14"/>
  <c r="G7" i="14"/>
  <c r="D8" i="14"/>
  <c r="E8" i="14"/>
  <c r="F8" i="14"/>
  <c r="G8" i="14"/>
  <c r="D9" i="14"/>
  <c r="E9" i="14"/>
  <c r="F9" i="14"/>
  <c r="G9" i="14"/>
  <c r="D10" i="14"/>
  <c r="E10" i="14"/>
  <c r="F10" i="14"/>
  <c r="G10" i="14"/>
  <c r="D11" i="14"/>
  <c r="E11" i="14"/>
  <c r="F11" i="14"/>
  <c r="G11" i="14"/>
  <c r="D12" i="14"/>
  <c r="E12" i="14"/>
  <c r="F12" i="14"/>
  <c r="G12" i="14"/>
  <c r="C12" i="14"/>
  <c r="C11" i="14"/>
  <c r="C10" i="14"/>
  <c r="C9" i="14"/>
  <c r="C8" i="14"/>
  <c r="C7" i="14"/>
  <c r="C6" i="14"/>
  <c r="C5" i="14"/>
  <c r="C4" i="14"/>
  <c r="C3" i="14"/>
  <c r="C2" i="14"/>
  <c r="B12" i="14"/>
  <c r="B11" i="14"/>
  <c r="B10" i="14"/>
  <c r="B9" i="14"/>
  <c r="B8" i="14"/>
  <c r="B7" i="14"/>
  <c r="B6" i="14"/>
  <c r="B5" i="14"/>
  <c r="B4" i="14"/>
  <c r="B3" i="14"/>
  <c r="B2" i="14"/>
  <c r="A7" i="14"/>
  <c r="A8" i="14"/>
  <c r="A9" i="14"/>
  <c r="A10" i="14"/>
  <c r="A11" i="14"/>
  <c r="A12" i="14"/>
  <c r="A6" i="14"/>
  <c r="A5" i="14"/>
  <c r="A4" i="14"/>
  <c r="A3" i="14"/>
  <c r="A2" i="14"/>
  <c r="D2" i="13"/>
  <c r="E2" i="13"/>
  <c r="F2" i="13"/>
  <c r="G2" i="13"/>
  <c r="D3" i="13"/>
  <c r="E3" i="13"/>
  <c r="F3" i="13"/>
  <c r="G3" i="13"/>
  <c r="D4" i="13"/>
  <c r="E4" i="13"/>
  <c r="F4" i="13"/>
  <c r="G4" i="13"/>
  <c r="D5" i="13"/>
  <c r="E5" i="13"/>
  <c r="F5" i="13"/>
  <c r="G5" i="13"/>
  <c r="D6" i="13"/>
  <c r="E6" i="13"/>
  <c r="F6" i="13"/>
  <c r="G6" i="13"/>
  <c r="D7" i="13"/>
  <c r="E7" i="13"/>
  <c r="F7" i="13"/>
  <c r="G7" i="13"/>
  <c r="D8" i="13"/>
  <c r="E8" i="13"/>
  <c r="F8" i="13"/>
  <c r="G8" i="13"/>
  <c r="D9" i="13"/>
  <c r="E9" i="13"/>
  <c r="F9" i="13"/>
  <c r="G9" i="13"/>
  <c r="D10" i="13"/>
  <c r="E10" i="13"/>
  <c r="F10" i="13"/>
  <c r="G10" i="13"/>
  <c r="D11" i="13"/>
  <c r="E11" i="13"/>
  <c r="F11" i="13"/>
  <c r="G11" i="13"/>
  <c r="D12" i="13"/>
  <c r="E12" i="13"/>
  <c r="F12" i="13"/>
  <c r="G12" i="13"/>
  <c r="D13" i="13"/>
  <c r="E13" i="13"/>
  <c r="F13" i="13"/>
  <c r="G13" i="13"/>
  <c r="D14" i="13"/>
  <c r="E14" i="13"/>
  <c r="F14" i="13"/>
  <c r="G14" i="13"/>
  <c r="D15" i="13"/>
  <c r="E15" i="13"/>
  <c r="F15" i="13"/>
  <c r="G15" i="13"/>
  <c r="D16" i="13"/>
  <c r="E16" i="13"/>
  <c r="F16" i="13"/>
  <c r="G16" i="13"/>
  <c r="D17" i="13"/>
  <c r="E17" i="13"/>
  <c r="F17" i="13"/>
  <c r="G17" i="13"/>
  <c r="D18" i="13"/>
  <c r="E18" i="13"/>
  <c r="F18" i="13"/>
  <c r="G18" i="13"/>
  <c r="D19" i="13"/>
  <c r="E19" i="13"/>
  <c r="F19" i="13"/>
  <c r="G19" i="13"/>
  <c r="D20" i="13"/>
  <c r="E20" i="13"/>
  <c r="F20" i="13"/>
  <c r="G20" i="13"/>
  <c r="D21" i="13"/>
  <c r="E21" i="13"/>
  <c r="F21" i="13"/>
  <c r="G21" i="13"/>
  <c r="D22" i="13"/>
  <c r="E22" i="13"/>
  <c r="F22" i="13"/>
  <c r="G22" i="13"/>
  <c r="D23" i="13"/>
  <c r="E23" i="13"/>
  <c r="F23" i="13"/>
  <c r="G23" i="13"/>
  <c r="D24" i="13"/>
  <c r="E24" i="13"/>
  <c r="F24" i="13"/>
  <c r="G24" i="13"/>
  <c r="D25" i="13"/>
  <c r="E25" i="13"/>
  <c r="F25" i="13"/>
  <c r="G25" i="13"/>
  <c r="D26" i="13"/>
  <c r="E26" i="13"/>
  <c r="F26" i="13"/>
  <c r="G26" i="13"/>
  <c r="D27" i="13"/>
  <c r="E27" i="13"/>
  <c r="F27" i="13"/>
  <c r="G27" i="13"/>
  <c r="D28" i="13"/>
  <c r="E28" i="13"/>
  <c r="F28" i="13"/>
  <c r="G28" i="13"/>
  <c r="D29" i="13"/>
  <c r="E29" i="13"/>
  <c r="F29" i="13"/>
  <c r="G29" i="13"/>
  <c r="D30" i="13"/>
  <c r="E30" i="13"/>
  <c r="F30" i="13"/>
  <c r="G30" i="13"/>
  <c r="D31" i="13"/>
  <c r="E31" i="13"/>
  <c r="F31" i="13"/>
  <c r="G31" i="13"/>
  <c r="D32" i="13"/>
  <c r="E32" i="13"/>
  <c r="F32" i="13"/>
  <c r="G32" i="13"/>
  <c r="D33" i="13"/>
  <c r="E33" i="13"/>
  <c r="F33" i="13"/>
  <c r="G33" i="13"/>
  <c r="D34" i="13"/>
  <c r="E34" i="13"/>
  <c r="F34" i="13"/>
  <c r="G34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A34" i="13"/>
  <c r="A33" i="13"/>
  <c r="A32" i="13"/>
  <c r="A29" i="13"/>
  <c r="A30" i="13"/>
  <c r="A31" i="13"/>
  <c r="A28" i="13"/>
  <c r="A27" i="13"/>
  <c r="A18" i="13"/>
  <c r="A19" i="13"/>
  <c r="A20" i="13"/>
  <c r="A21" i="13"/>
  <c r="A22" i="13"/>
  <c r="A23" i="13"/>
  <c r="A24" i="13"/>
  <c r="A25" i="13"/>
  <c r="A26" i="13"/>
  <c r="A17" i="13"/>
  <c r="A15" i="13"/>
  <c r="A16" i="13"/>
  <c r="A14" i="13"/>
  <c r="A13" i="13"/>
  <c r="A12" i="13"/>
  <c r="A11" i="13"/>
  <c r="A10" i="13"/>
  <c r="A6" i="13"/>
  <c r="A7" i="13"/>
  <c r="A8" i="13"/>
  <c r="A9" i="13"/>
  <c r="A5" i="13"/>
  <c r="A4" i="13"/>
  <c r="A3" i="13"/>
  <c r="A2" i="13"/>
  <c r="D2" i="12"/>
  <c r="E2" i="12"/>
  <c r="F2" i="12"/>
  <c r="G2" i="12"/>
  <c r="D3" i="12"/>
  <c r="E3" i="12"/>
  <c r="F3" i="12"/>
  <c r="G3" i="12"/>
  <c r="D4" i="12"/>
  <c r="E4" i="12"/>
  <c r="F4" i="12"/>
  <c r="G4" i="12"/>
  <c r="D5" i="12"/>
  <c r="E5" i="12"/>
  <c r="F5" i="12"/>
  <c r="G5" i="12"/>
  <c r="D6" i="12"/>
  <c r="E6" i="12"/>
  <c r="F6" i="12"/>
  <c r="G6" i="12"/>
  <c r="D7" i="12"/>
  <c r="E7" i="12"/>
  <c r="F7" i="12"/>
  <c r="G7" i="12"/>
  <c r="C7" i="12"/>
  <c r="C6" i="12"/>
  <c r="C5" i="12"/>
  <c r="C4" i="12"/>
  <c r="C3" i="12"/>
  <c r="C2" i="12"/>
  <c r="B7" i="12"/>
  <c r="B6" i="12"/>
  <c r="B5" i="12"/>
  <c r="B4" i="12"/>
  <c r="B3" i="12"/>
  <c r="B2" i="12"/>
  <c r="A7" i="12"/>
  <c r="A6" i="12"/>
  <c r="A5" i="12"/>
  <c r="A4" i="12"/>
  <c r="A3" i="12"/>
  <c r="A2" i="12"/>
  <c r="B8" i="11"/>
  <c r="B9" i="11"/>
  <c r="B10" i="11"/>
  <c r="B11" i="11"/>
  <c r="B12" i="11"/>
  <c r="B13" i="11"/>
  <c r="B14" i="11"/>
  <c r="B15" i="11"/>
  <c r="B16" i="11"/>
  <c r="B7" i="11"/>
  <c r="B6" i="11"/>
  <c r="B5" i="11"/>
  <c r="B4" i="11"/>
  <c r="B3" i="11"/>
  <c r="B2" i="11"/>
  <c r="D7" i="11"/>
  <c r="E7" i="11"/>
  <c r="F7" i="11"/>
  <c r="G7" i="11"/>
  <c r="D8" i="11"/>
  <c r="E8" i="11"/>
  <c r="F8" i="11"/>
  <c r="G8" i="11"/>
  <c r="D9" i="11"/>
  <c r="E9" i="11"/>
  <c r="F9" i="11"/>
  <c r="G9" i="11"/>
  <c r="D10" i="11"/>
  <c r="E10" i="11"/>
  <c r="F10" i="11"/>
  <c r="G10" i="11"/>
  <c r="D11" i="11"/>
  <c r="E11" i="11"/>
  <c r="F11" i="11"/>
  <c r="G11" i="11"/>
  <c r="D12" i="11"/>
  <c r="E12" i="11"/>
  <c r="F12" i="11"/>
  <c r="G12" i="11"/>
  <c r="D13" i="11"/>
  <c r="E13" i="11"/>
  <c r="F13" i="11"/>
  <c r="G13" i="11"/>
  <c r="D14" i="11"/>
  <c r="E14" i="11"/>
  <c r="F14" i="11"/>
  <c r="G14" i="11"/>
  <c r="D15" i="11"/>
  <c r="E15" i="11"/>
  <c r="F15" i="11"/>
  <c r="G15" i="11"/>
  <c r="D16" i="11"/>
  <c r="E16" i="11"/>
  <c r="F16" i="11"/>
  <c r="G16" i="11"/>
  <c r="C8" i="11"/>
  <c r="C9" i="11"/>
  <c r="C10" i="11"/>
  <c r="C11" i="11"/>
  <c r="C12" i="11"/>
  <c r="C13" i="11"/>
  <c r="C14" i="11"/>
  <c r="C15" i="11"/>
  <c r="C16" i="11"/>
  <c r="C7" i="11"/>
  <c r="D2" i="11"/>
  <c r="E2" i="11"/>
  <c r="F2" i="11"/>
  <c r="G2" i="11"/>
  <c r="D3" i="11"/>
  <c r="E3" i="11"/>
  <c r="F3" i="11"/>
  <c r="G3" i="11"/>
  <c r="D4" i="11"/>
  <c r="E4" i="11"/>
  <c r="F4" i="11"/>
  <c r="G4" i="11"/>
  <c r="D5" i="11"/>
  <c r="E5" i="11"/>
  <c r="F5" i="11"/>
  <c r="G5" i="11"/>
  <c r="D6" i="11"/>
  <c r="E6" i="11"/>
  <c r="F6" i="11"/>
  <c r="G6" i="11"/>
  <c r="C6" i="11"/>
  <c r="C5" i="11"/>
  <c r="C4" i="11"/>
  <c r="C3" i="11"/>
  <c r="C2" i="11"/>
  <c r="A15" i="11"/>
  <c r="A16" i="11"/>
  <c r="A7" i="11"/>
  <c r="A8" i="11"/>
  <c r="A9" i="11"/>
  <c r="A10" i="11"/>
  <c r="A11" i="11"/>
  <c r="A12" i="11"/>
  <c r="A13" i="11"/>
  <c r="A14" i="11"/>
  <c r="A6" i="11"/>
  <c r="A5" i="11"/>
  <c r="A4" i="11"/>
  <c r="A3" i="11"/>
  <c r="A2" i="11"/>
  <c r="E5" i="8"/>
  <c r="E4" i="8"/>
  <c r="D2" i="5"/>
  <c r="E2" i="5"/>
  <c r="F2" i="5"/>
  <c r="G2" i="5"/>
  <c r="D3" i="5"/>
  <c r="E3" i="5"/>
  <c r="F3" i="5"/>
  <c r="G3" i="5"/>
  <c r="D4" i="5"/>
  <c r="E4" i="5"/>
  <c r="F4" i="5"/>
  <c r="G4" i="5"/>
  <c r="D5" i="5"/>
  <c r="E5" i="5"/>
  <c r="F5" i="5"/>
  <c r="G5" i="5"/>
  <c r="D6" i="5"/>
  <c r="E6" i="5"/>
  <c r="F6" i="5"/>
  <c r="G6" i="5"/>
  <c r="C6" i="5"/>
  <c r="C5" i="5"/>
  <c r="C4" i="5"/>
  <c r="C3" i="5"/>
  <c r="C2" i="5"/>
  <c r="D2" i="4"/>
  <c r="E2" i="4"/>
  <c r="F2" i="4"/>
  <c r="G2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C11" i="4"/>
  <c r="C12" i="4"/>
  <c r="C9" i="4"/>
  <c r="C8" i="4"/>
  <c r="C7" i="4"/>
  <c r="C6" i="4"/>
  <c r="C5" i="4"/>
  <c r="C4" i="4"/>
  <c r="C3" i="4"/>
  <c r="C10" i="4"/>
  <c r="C2" i="4"/>
  <c r="D2" i="3"/>
  <c r="E2" i="3"/>
  <c r="F2" i="3"/>
  <c r="G2" i="3"/>
  <c r="D3" i="3"/>
  <c r="E3" i="3"/>
  <c r="F3" i="3"/>
  <c r="G3" i="3"/>
  <c r="D4" i="3"/>
  <c r="E4" i="3"/>
  <c r="F4" i="3"/>
  <c r="G4" i="3"/>
  <c r="D5" i="3"/>
  <c r="E5" i="3"/>
  <c r="F5" i="3"/>
  <c r="G5" i="3"/>
  <c r="D6" i="3"/>
  <c r="E6" i="3"/>
  <c r="F6" i="3"/>
  <c r="G6" i="3"/>
  <c r="C6" i="3"/>
  <c r="C5" i="3"/>
  <c r="C4" i="3"/>
  <c r="C3" i="3"/>
  <c r="C2" i="3"/>
  <c r="D2" i="7"/>
  <c r="E2" i="7"/>
  <c r="F2" i="7"/>
  <c r="G2" i="7"/>
  <c r="D3" i="7"/>
  <c r="E3" i="7"/>
  <c r="F3" i="7"/>
  <c r="G3" i="7"/>
  <c r="D4" i="7"/>
  <c r="E4" i="7"/>
  <c r="F4" i="7"/>
  <c r="G4" i="7"/>
  <c r="D5" i="7"/>
  <c r="E5" i="7"/>
  <c r="F5" i="7"/>
  <c r="G5" i="7"/>
  <c r="D6" i="7"/>
  <c r="E6" i="7"/>
  <c r="F6" i="7"/>
  <c r="G6" i="7"/>
  <c r="C3" i="7"/>
  <c r="C4" i="7"/>
  <c r="C5" i="7"/>
  <c r="C6" i="7"/>
  <c r="C2" i="7"/>
  <c r="D15" i="6"/>
  <c r="E15" i="6"/>
  <c r="F15" i="6"/>
  <c r="G15" i="6"/>
  <c r="D16" i="6"/>
  <c r="E16" i="6"/>
  <c r="F16" i="6"/>
  <c r="G16" i="6"/>
  <c r="D17" i="6"/>
  <c r="E17" i="6"/>
  <c r="F17" i="6"/>
  <c r="G17" i="6"/>
  <c r="D18" i="6"/>
  <c r="E18" i="6"/>
  <c r="F18" i="6"/>
  <c r="G18" i="6"/>
  <c r="D19" i="6"/>
  <c r="E19" i="6"/>
  <c r="F19" i="6"/>
  <c r="G19" i="6"/>
  <c r="D3" i="6"/>
  <c r="E3" i="6"/>
  <c r="F3" i="6"/>
  <c r="G3" i="6"/>
  <c r="D4" i="6"/>
  <c r="E4" i="6"/>
  <c r="F4" i="6"/>
  <c r="G4" i="6"/>
  <c r="D5" i="6"/>
  <c r="E5" i="6"/>
  <c r="F5" i="6"/>
  <c r="G5" i="6"/>
  <c r="D6" i="6"/>
  <c r="E6" i="6"/>
  <c r="F6" i="6"/>
  <c r="G6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D12" i="6"/>
  <c r="E12" i="6"/>
  <c r="F12" i="6"/>
  <c r="G12" i="6"/>
  <c r="C4" i="6"/>
  <c r="C5" i="6"/>
  <c r="C6" i="6"/>
  <c r="C7" i="6"/>
  <c r="C8" i="6"/>
  <c r="C9" i="6"/>
  <c r="C10" i="6"/>
  <c r="C11" i="6"/>
  <c r="C12" i="6"/>
  <c r="C3" i="6"/>
  <c r="D2" i="9"/>
  <c r="E2" i="9"/>
  <c r="F2" i="9"/>
  <c r="G2" i="9"/>
  <c r="D3" i="9"/>
  <c r="E3" i="9"/>
  <c r="F3" i="9"/>
  <c r="G3" i="9"/>
  <c r="D4" i="9"/>
  <c r="E4" i="9"/>
  <c r="F4" i="9"/>
  <c r="G4" i="9"/>
  <c r="D5" i="9"/>
  <c r="E5" i="9"/>
  <c r="F5" i="9"/>
  <c r="G5" i="9"/>
  <c r="D6" i="9"/>
  <c r="E6" i="9"/>
  <c r="F6" i="9"/>
  <c r="G6" i="9"/>
  <c r="D7" i="9"/>
  <c r="E7" i="9"/>
  <c r="F7" i="9"/>
  <c r="G7" i="9"/>
  <c r="D8" i="9"/>
  <c r="E8" i="9"/>
  <c r="F8" i="9"/>
  <c r="G8" i="9"/>
  <c r="D9" i="9"/>
  <c r="E9" i="9"/>
  <c r="F9" i="9"/>
  <c r="G9" i="9"/>
  <c r="D10" i="9"/>
  <c r="E10" i="9"/>
  <c r="F10" i="9"/>
  <c r="G10" i="9"/>
  <c r="D11" i="9"/>
  <c r="E11" i="9"/>
  <c r="F11" i="9"/>
  <c r="G11" i="9"/>
  <c r="D12" i="9"/>
  <c r="E12" i="9"/>
  <c r="F12" i="9"/>
  <c r="G12" i="9"/>
  <c r="D13" i="9"/>
  <c r="E13" i="9"/>
  <c r="F13" i="9"/>
  <c r="G13" i="9"/>
  <c r="D14" i="9"/>
  <c r="E14" i="9"/>
  <c r="F14" i="9"/>
  <c r="G14" i="9"/>
  <c r="D16" i="9"/>
  <c r="E16" i="9"/>
  <c r="F16" i="9"/>
  <c r="G16" i="9"/>
  <c r="D17" i="9"/>
  <c r="E17" i="9"/>
  <c r="F17" i="9"/>
  <c r="G17" i="9"/>
  <c r="D18" i="9"/>
  <c r="E18" i="9"/>
  <c r="F18" i="9"/>
  <c r="G18" i="9"/>
  <c r="C18" i="9"/>
  <c r="C17" i="9"/>
  <c r="C16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B19" i="6"/>
  <c r="B18" i="6"/>
  <c r="B17" i="6"/>
  <c r="B16" i="6"/>
  <c r="B12" i="6"/>
  <c r="B11" i="6"/>
  <c r="B10" i="6"/>
  <c r="B9" i="6"/>
  <c r="B8" i="6"/>
  <c r="B6" i="6"/>
  <c r="B7" i="6"/>
  <c r="B4" i="6"/>
  <c r="B5" i="6"/>
  <c r="B3" i="6"/>
  <c r="D5" i="8"/>
  <c r="F5" i="8"/>
  <c r="G5" i="8"/>
  <c r="C5" i="8"/>
  <c r="C4" i="8"/>
  <c r="D4" i="8"/>
  <c r="F4" i="8"/>
  <c r="G4" i="8"/>
  <c r="D3" i="8"/>
  <c r="E3" i="8"/>
  <c r="F3" i="8"/>
  <c r="G3" i="8"/>
  <c r="C3" i="8"/>
  <c r="F2" i="8"/>
  <c r="D2" i="8"/>
  <c r="E2" i="8"/>
  <c r="G2" i="8"/>
  <c r="C2" i="8"/>
  <c r="B5" i="8"/>
  <c r="B4" i="8"/>
  <c r="B3" i="8"/>
  <c r="B2" i="8"/>
  <c r="A4" i="8"/>
  <c r="A3" i="8"/>
  <c r="A2" i="8"/>
  <c r="C13" i="17" l="1"/>
  <c r="B16" i="10" s="1"/>
  <c r="F16" i="16"/>
  <c r="E13" i="10" s="1"/>
  <c r="C16" i="16"/>
  <c r="B13" i="10" s="1"/>
  <c r="G16" i="16"/>
  <c r="F13" i="10" s="1"/>
  <c r="E16" i="16"/>
  <c r="D13" i="10" s="1"/>
  <c r="D16" i="16"/>
  <c r="C13" i="10" s="1"/>
  <c r="D7" i="5"/>
  <c r="C9" i="10" s="1"/>
  <c r="C13" i="15"/>
  <c r="G13" i="15"/>
  <c r="F13" i="15"/>
  <c r="E13" i="15"/>
  <c r="D13" i="15"/>
  <c r="F13" i="14"/>
  <c r="E15" i="10" s="1"/>
  <c r="D13" i="14"/>
  <c r="C15" i="10" s="1"/>
  <c r="G13" i="14"/>
  <c r="F15" i="10" s="1"/>
  <c r="C13" i="14"/>
  <c r="B15" i="10" s="1"/>
  <c r="E13" i="14"/>
  <c r="D15" i="10" s="1"/>
  <c r="C35" i="13"/>
  <c r="B12" i="10" s="1"/>
  <c r="F35" i="13"/>
  <c r="E12" i="10" s="1"/>
  <c r="G35" i="13"/>
  <c r="F12" i="10" s="1"/>
  <c r="E35" i="13"/>
  <c r="D12" i="10" s="1"/>
  <c r="D35" i="13"/>
  <c r="C12" i="10" s="1"/>
  <c r="C7" i="5"/>
  <c r="B9" i="10" s="1"/>
  <c r="F8" i="12"/>
  <c r="C8" i="12"/>
  <c r="G8" i="12"/>
  <c r="E8" i="12"/>
  <c r="D8" i="12"/>
  <c r="E7" i="7"/>
  <c r="D7" i="10" s="1"/>
  <c r="G17" i="11"/>
  <c r="F10" i="10" s="1"/>
  <c r="F17" i="11"/>
  <c r="E10" i="10" s="1"/>
  <c r="F7" i="7"/>
  <c r="E7" i="10" s="1"/>
  <c r="E17" i="11"/>
  <c r="D10" i="10" s="1"/>
  <c r="C17" i="11"/>
  <c r="B10" i="10" s="1"/>
  <c r="D17" i="11"/>
  <c r="C10" i="10" s="1"/>
  <c r="C7" i="3"/>
  <c r="B6" i="10" s="1"/>
  <c r="D7" i="7"/>
  <c r="C7" i="10" s="1"/>
  <c r="C7" i="7"/>
  <c r="B7" i="10" s="1"/>
  <c r="C13" i="4"/>
  <c r="B3" i="10" s="1"/>
  <c r="F13" i="4"/>
  <c r="E3" i="10" s="1"/>
  <c r="C19" i="9"/>
  <c r="B8" i="10" s="1"/>
  <c r="D13" i="4"/>
  <c r="C3" i="10" s="1"/>
  <c r="F19" i="9"/>
  <c r="E8" i="10" s="1"/>
  <c r="D19" i="9"/>
  <c r="C8" i="10" s="1"/>
  <c r="F7" i="5"/>
  <c r="E9" i="10" s="1"/>
  <c r="D20" i="6"/>
  <c r="C5" i="10" s="1"/>
  <c r="E7" i="5"/>
  <c r="D9" i="10" s="1"/>
  <c r="D7" i="3"/>
  <c r="C6" i="10" s="1"/>
  <c r="G7" i="3"/>
  <c r="F6" i="10" s="1"/>
  <c r="G7" i="5"/>
  <c r="F9" i="10" s="1"/>
  <c r="F7" i="3"/>
  <c r="E6" i="10" s="1"/>
  <c r="E19" i="9"/>
  <c r="D8" i="10" s="1"/>
  <c r="E7" i="3"/>
  <c r="D6" i="10" s="1"/>
  <c r="G13" i="4"/>
  <c r="F3" i="10" s="1"/>
  <c r="E13" i="4"/>
  <c r="D3" i="10" s="1"/>
  <c r="G7" i="7"/>
  <c r="F7" i="10" s="1"/>
  <c r="G19" i="9"/>
  <c r="F8" i="10" s="1"/>
  <c r="G20" i="6"/>
  <c r="F5" i="10" s="1"/>
  <c r="F20" i="6"/>
  <c r="E5" i="10" s="1"/>
  <c r="C20" i="6"/>
  <c r="B5" i="10" s="1"/>
  <c r="F13" i="6"/>
  <c r="E4" i="10" s="1"/>
  <c r="E13" i="6"/>
  <c r="D4" i="10" s="1"/>
  <c r="G6" i="8"/>
  <c r="F2" i="10" s="1"/>
  <c r="G13" i="6"/>
  <c r="F4" i="10" s="1"/>
  <c r="C6" i="8"/>
  <c r="B2" i="10" s="1"/>
  <c r="D13" i="6"/>
  <c r="C4" i="10" s="1"/>
  <c r="D6" i="8"/>
  <c r="C2" i="10" s="1"/>
  <c r="E20" i="6"/>
  <c r="D5" i="10" s="1"/>
  <c r="C13" i="6"/>
  <c r="B4" i="10" s="1"/>
  <c r="E6" i="8"/>
  <c r="D2" i="10" s="1"/>
  <c r="F6" i="8"/>
  <c r="E2" i="10" s="1"/>
  <c r="C11" i="10" l="1"/>
  <c r="C14" i="10"/>
  <c r="D11" i="10"/>
  <c r="D14" i="10"/>
  <c r="F11" i="10"/>
  <c r="F14" i="10"/>
  <c r="B11" i="10"/>
  <c r="B14" i="10"/>
  <c r="E11" i="10"/>
  <c r="E14" i="10"/>
</calcChain>
</file>

<file path=xl/sharedStrings.xml><?xml version="1.0" encoding="utf-8"?>
<sst xmlns="http://schemas.openxmlformats.org/spreadsheetml/2006/main" count="881" uniqueCount="175">
  <si>
    <t>CHS</t>
  </si>
  <si>
    <t>Social scale 1</t>
  </si>
  <si>
    <t>Scale 2</t>
  </si>
  <si>
    <t>FHS</t>
  </si>
  <si>
    <t>FHS Original</t>
  </si>
  <si>
    <t>FHS Offspring/Omni1</t>
  </si>
  <si>
    <t>MESA</t>
  </si>
  <si>
    <t>2/7</t>
  </si>
  <si>
    <t>ESSI</t>
  </si>
  <si>
    <t>Brim Familh</t>
  </si>
  <si>
    <t>Berkman SNQ</t>
  </si>
  <si>
    <t>CHS Soc network</t>
  </si>
  <si>
    <t>CHS Soc support</t>
  </si>
  <si>
    <t>ARIC</t>
  </si>
  <si>
    <t>ISELF</t>
  </si>
  <si>
    <t>Visit 2</t>
  </si>
  <si>
    <t>Lubben (LSNS)</t>
  </si>
  <si>
    <t>JHS</t>
  </si>
  <si>
    <t>Exam 1</t>
  </si>
  <si>
    <t>Berkman</t>
  </si>
  <si>
    <t>Berkman SN</t>
  </si>
  <si>
    <t>Brim</t>
  </si>
  <si>
    <t>CHS scores</t>
  </si>
  <si>
    <t>X</t>
  </si>
  <si>
    <t>Friends are more interesting</t>
  </si>
  <si>
    <t>Tilburg</t>
  </si>
  <si>
    <t>Feel physically healthy</t>
  </si>
  <si>
    <t>Felt down (last month)</t>
  </si>
  <si>
    <t>Felt nervous/anxious (last month)</t>
  </si>
  <si>
    <t>Lives alone</t>
  </si>
  <si>
    <t>Miss people</t>
  </si>
  <si>
    <t>DM</t>
  </si>
  <si>
    <t>HTN</t>
  </si>
  <si>
    <t>COPD</t>
  </si>
  <si>
    <t>Asthma</t>
  </si>
  <si>
    <t>DJD</t>
  </si>
  <si>
    <t>CKD</t>
  </si>
  <si>
    <t>CHF</t>
  </si>
  <si>
    <t>CAD</t>
  </si>
  <si>
    <t>CVA</t>
  </si>
  <si>
    <t>Cancer</t>
  </si>
  <si>
    <t>FRAIL</t>
  </si>
  <si>
    <t>Fried</t>
  </si>
  <si>
    <t>HALFt</t>
  </si>
  <si>
    <t>Rockwood</t>
  </si>
  <si>
    <t>Dressing</t>
  </si>
  <si>
    <t>Bathing</t>
  </si>
  <si>
    <t>Transferring</t>
  </si>
  <si>
    <t>Toileting</t>
  </si>
  <si>
    <t>Physical/emotional probs affect social activities</t>
  </si>
  <si>
    <t>Fracture (osteoporosis)</t>
  </si>
  <si>
    <t>MMSE</t>
  </si>
  <si>
    <t>BMI</t>
  </si>
  <si>
    <t>Nursing home</t>
  </si>
  <si>
    <t>Barthel</t>
  </si>
  <si>
    <t>Feeding</t>
  </si>
  <si>
    <t>FIFE</t>
  </si>
  <si>
    <t>Poor appetite</t>
  </si>
  <si>
    <t>Tooth/mouth problems affect eating</t>
  </si>
  <si>
    <t>Hospitalized last 3 months</t>
  </si>
  <si>
    <t>ED in last 3 months</t>
  </si>
  <si>
    <t>Makizako</t>
  </si>
  <si>
    <t>Help others in need</t>
  </si>
  <si>
    <t xml:space="preserve">Going out </t>
  </si>
  <si>
    <t>Visiting friends</t>
  </si>
  <si>
    <t>Talking with someone exery day</t>
  </si>
  <si>
    <t>ISEL</t>
  </si>
  <si>
    <t>BSNI</t>
  </si>
  <si>
    <t>Social support score</t>
  </si>
  <si>
    <t>Social network Score</t>
  </si>
  <si>
    <t>When lonely, people to talk to</t>
  </si>
  <si>
    <t>Often meet/talk with family/friends</t>
  </si>
  <si>
    <t>If sick, can find someone for chores</t>
  </si>
  <si>
    <t>Trust at least one person's advice</t>
  </si>
  <si>
    <t># Close friends</t>
  </si>
  <si>
    <t># Close friends/mo</t>
  </si>
  <si>
    <t># relatives once/month</t>
  </si>
  <si>
    <t>How often see relative with most contaact</t>
  </si>
  <si>
    <t>People talk to you re: important decisions</t>
  </si>
  <si>
    <t>Know somebody to talk to for personal prob</t>
  </si>
  <si>
    <t>CHS social network</t>
  </si>
  <si>
    <t>CHS social support</t>
  </si>
  <si>
    <t>Goes to church</t>
  </si>
  <si>
    <t>Marital status</t>
  </si>
  <si>
    <t>Trust at least one person's financial advice</t>
  </si>
  <si>
    <t>Someone to take care of house when out of town</t>
  </si>
  <si>
    <t>Borrow someone's car for a few hours</t>
  </si>
  <si>
    <t>Has someone who relies on you</t>
  </si>
  <si>
    <t>Help someone some else with ADLs</t>
  </si>
  <si>
    <t>Often talks to fam/friends</t>
  </si>
  <si>
    <t>Has hard time keeping pace with friends</t>
  </si>
  <si>
    <t>Has poor hearing</t>
  </si>
  <si>
    <t>Has poor vision</t>
  </si>
  <si>
    <t>Misses people</t>
  </si>
  <si>
    <t>Receives enough support from others</t>
  </si>
  <si>
    <t>Chronic illnesses/comorbidities</t>
  </si>
  <si>
    <t>Able to walk up one flight (resistance)</t>
  </si>
  <si>
    <t xml:space="preserve">Stopped going out </t>
  </si>
  <si>
    <t>Stopped visiting friends</t>
  </si>
  <si>
    <t>Talks to with someone exery day</t>
  </si>
  <si>
    <t>Someone to provide objective view</t>
  </si>
  <si>
    <t>Assist others in their ADLs</t>
  </si>
  <si>
    <t>Health affects activities/activity level</t>
  </si>
  <si>
    <t>Pain interferes with ability to work</t>
  </si>
  <si>
    <t>Weight loss in past year</t>
  </si>
  <si>
    <t>Able to do moderate activity</t>
  </si>
  <si>
    <t>Living situation</t>
  </si>
  <si>
    <t>Physical limitations</t>
  </si>
  <si>
    <t>Nutrition</t>
  </si>
  <si>
    <t>Mood</t>
  </si>
  <si>
    <t>Able to do heavy work around the house</t>
  </si>
  <si>
    <t>ADLs/self care</t>
  </si>
  <si>
    <t>Cognition</t>
  </si>
  <si>
    <t>Health care encounters</t>
  </si>
  <si>
    <t>Feels satisfied with life</t>
  </si>
  <si>
    <t>Has someone to talk to when lonely.</t>
  </si>
  <si>
    <t>Often feels excluded by friends</t>
  </si>
  <si>
    <t>Feels not invited to things</t>
  </si>
  <si>
    <t>Has somone to help when sick (e.g. take to doctor)</t>
  </si>
  <si>
    <t>Participates in groups</t>
  </si>
  <si>
    <t>Feels like has enough income</t>
  </si>
  <si>
    <t>Has difficulty w balance (self-report)</t>
  </si>
  <si>
    <t>Has difficulty walking (self-report)</t>
  </si>
  <si>
    <t>Can walk up several flights (self-report)</t>
  </si>
  <si>
    <t>Able to walk 1/2 mile (self-report)</t>
  </si>
  <si>
    <t>Physical activity (kcal/day, self-report)</t>
  </si>
  <si>
    <t>Bowel incontinence</t>
  </si>
  <si>
    <t>Bladder incontinence</t>
  </si>
  <si>
    <t>Everything an effort (CESD)</t>
  </si>
  <si>
    <t>Couldn't get going (CESD)</t>
  </si>
  <si>
    <t>Gait speed (measured)</t>
  </si>
  <si>
    <t>Grip strength (measured)</t>
  </si>
  <si>
    <t>Memory problems (self-report)</t>
  </si>
  <si>
    <t>Has someone that shoes love/affection</t>
  </si>
  <si>
    <t>Has an emotional supporter</t>
  </si>
  <si>
    <t>Helps others in need</t>
  </si>
  <si>
    <t>How often do family/friends let you down when you need them?</t>
  </si>
  <si>
    <t>How often do family/friends make too many demands of you?</t>
  </si>
  <si>
    <t>How often do you feel able to cope with problems (last month)</t>
  </si>
  <si>
    <t>How often have you felt things were going your way? (last month)</t>
  </si>
  <si>
    <t>How often have you felt difficulties piling so high you could not overcome?</t>
  </si>
  <si>
    <t>How often see friend with most contact?</t>
  </si>
  <si>
    <t>Has someone they can trust/confidant</t>
  </si>
  <si>
    <t>Has someone to help with serious problem</t>
  </si>
  <si>
    <t>Others talk to you about important decisions</t>
  </si>
  <si>
    <t>Trust at least one person's  advice</t>
  </si>
  <si>
    <t>Has someone who can help with a serious/personal problem.</t>
  </si>
  <si>
    <t># close relatives</t>
  </si>
  <si>
    <t>How often see relative with most contact</t>
  </si>
  <si>
    <t>How often see friend with most contact</t>
  </si>
  <si>
    <t>Close relatives</t>
  </si>
  <si>
    <t>Misses people/lonely</t>
  </si>
  <si>
    <t>Barthe</t>
  </si>
  <si>
    <t>Lubben</t>
  </si>
  <si>
    <t>Scale</t>
  </si>
  <si>
    <t>Katz</t>
  </si>
  <si>
    <t>CASI</t>
  </si>
  <si>
    <t>Writing checks, paying bills, balancing checkbook</t>
  </si>
  <si>
    <t>Assembling tax records, business affairs, or papers</t>
  </si>
  <si>
    <t>Shopping alone for clothes, houshold necessities, or groceries</t>
  </si>
  <si>
    <t>Playing a game of skill, working on a hobby</t>
  </si>
  <si>
    <t>Heating water, making cup of coffee, turning stove off after use</t>
  </si>
  <si>
    <t>Preparing a balanced meal</t>
  </si>
  <si>
    <t>Keeping track of current events</t>
  </si>
  <si>
    <t>Paying attention to, understanding, discussing TV, book, magazine</t>
  </si>
  <si>
    <t>Remembering appointments, family occasiona, holidays, medications</t>
  </si>
  <si>
    <t>Traveling out of neighborhood, driving, arranging to take buses</t>
  </si>
  <si>
    <t>Dependent</t>
  </si>
  <si>
    <t>Requires help</t>
  </si>
  <si>
    <t>Does self with difficulty</t>
  </si>
  <si>
    <t>Normal</t>
  </si>
  <si>
    <t>Never did previously but could now</t>
  </si>
  <si>
    <t>Never did and would have difficulty now.</t>
  </si>
  <si>
    <t>Pfeffer RI et al. Measurement of functional activities in older adults in the community. J</t>
  </si>
  <si>
    <t>Gerontol 1982; 37(3):323-329.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</si>
</sst>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" fontId="0" fillId="0" borderId="0" xfId="0" quotePrefix="1" applyNumberFormat="1" applyAlignment="1">
      <alignment horizontal="right"/>
    </xf>
    <xf numFmtId="0" fontId="0" fillId="0" borderId="0" xfId="0" applyAlignment="1">
      <alignment horizontal="left"/>
    </xf>
    <xf numFmtId="9" fontId="0" fillId="0" borderId="0" xfId="1" applyFont="1"/>
    <xf numFmtId="9" fontId="0" fillId="0" borderId="0" xfId="0" applyNumberFormat="1"/>
    <xf numFmtId="0" fontId="0" fillId="3" borderId="0" xfId="0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30"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3A03-B7DB-E44B-A387-72801B5EA0B3}">
  <dimension ref="A1:F16"/>
  <sheetViews>
    <sheetView workbookViewId="0">
      <selection activeCell="E18" sqref="E18"/>
    </sheetView>
  </sheetViews>
  <sheetFormatPr baseColWidth="10" defaultRowHeight="16"/>
  <cols>
    <col min="1" max="1" width="18.33203125" customWidth="1"/>
  </cols>
  <sheetData>
    <row r="1" spans="1:6">
      <c r="A1" t="s">
        <v>154</v>
      </c>
      <c r="B1" t="s">
        <v>13</v>
      </c>
      <c r="C1" t="s">
        <v>0</v>
      </c>
      <c r="D1" t="s">
        <v>3</v>
      </c>
      <c r="E1" t="s">
        <v>17</v>
      </c>
      <c r="F1" t="s">
        <v>6</v>
      </c>
    </row>
    <row r="2" spans="1:6">
      <c r="A2" t="s">
        <v>21</v>
      </c>
      <c r="B2" s="4">
        <f>Brim!C6</f>
        <v>0.5</v>
      </c>
      <c r="C2" s="4">
        <f>Brim!D6</f>
        <v>0.5</v>
      </c>
      <c r="D2" s="4">
        <f>Brim!E6</f>
        <v>0.25</v>
      </c>
      <c r="E2" s="4">
        <f>Brim!F6</f>
        <v>0.75</v>
      </c>
      <c r="F2" s="4">
        <f>Brim!G6</f>
        <v>1</v>
      </c>
    </row>
    <row r="3" spans="1:6">
      <c r="A3" t="s">
        <v>67</v>
      </c>
      <c r="B3" s="4">
        <f>BSNI!C13</f>
        <v>0.63636363636363635</v>
      </c>
      <c r="C3" s="4">
        <f>BSNI!D13</f>
        <v>0.81818181818181823</v>
      </c>
      <c r="D3" s="4">
        <f>BSNI!E13</f>
        <v>1</v>
      </c>
      <c r="E3" s="4">
        <f>BSNI!F13</f>
        <v>0.90909090909090906</v>
      </c>
      <c r="F3" s="4">
        <f>BSNI!G13</f>
        <v>0.54545454545454541</v>
      </c>
    </row>
    <row r="4" spans="1:6">
      <c r="A4" t="s">
        <v>80</v>
      </c>
      <c r="B4" s="4">
        <f>'CHS Scores'!C13</f>
        <v>0.9</v>
      </c>
      <c r="C4" s="4">
        <f>'CHS Scores'!D13</f>
        <v>0.8</v>
      </c>
      <c r="D4" s="4">
        <f>'CHS Scores'!E13</f>
        <v>0.6</v>
      </c>
      <c r="E4" s="4">
        <f>'CHS Scores'!F13</f>
        <v>0.9</v>
      </c>
      <c r="F4" s="4">
        <f>'CHS Scores'!G13</f>
        <v>0.2</v>
      </c>
    </row>
    <row r="5" spans="1:6">
      <c r="A5" t="s">
        <v>81</v>
      </c>
      <c r="B5" s="4">
        <f>'CHS Scores'!C20</f>
        <v>1</v>
      </c>
      <c r="C5" s="4">
        <f>'CHS Scores'!D20</f>
        <v>1</v>
      </c>
      <c r="D5" s="4">
        <f>'CHS Scores'!E20</f>
        <v>0.6</v>
      </c>
      <c r="E5" s="4">
        <f>'CHS Scores'!F20</f>
        <v>1</v>
      </c>
      <c r="F5" s="4">
        <f>'CHS Scores'!G20</f>
        <v>0.6</v>
      </c>
    </row>
    <row r="6" spans="1:6">
      <c r="A6" t="s">
        <v>8</v>
      </c>
      <c r="B6" s="4">
        <f>ESSI!C7</f>
        <v>0.6</v>
      </c>
      <c r="C6" s="4">
        <f>ESSI!D7</f>
        <v>0.8</v>
      </c>
      <c r="D6" s="4">
        <f>ESSI!E7</f>
        <v>0.8</v>
      </c>
      <c r="E6" s="4">
        <f>ESSI!F7</f>
        <v>0.6</v>
      </c>
      <c r="F6" s="4">
        <f>ESSI!G7</f>
        <v>1</v>
      </c>
    </row>
    <row r="7" spans="1:6">
      <c r="A7" t="s">
        <v>43</v>
      </c>
      <c r="B7" s="4">
        <f>HALFt!C7</f>
        <v>0.8</v>
      </c>
      <c r="C7" s="4">
        <f>HALFt!D7</f>
        <v>0.8</v>
      </c>
      <c r="D7" s="4">
        <f>HALFt!E7</f>
        <v>0.6</v>
      </c>
      <c r="E7" s="4">
        <f>HALFt!F7</f>
        <v>1</v>
      </c>
      <c r="F7" s="4">
        <f>HALFt!G7</f>
        <v>0.4</v>
      </c>
    </row>
    <row r="8" spans="1:6">
      <c r="A8" t="s">
        <v>66</v>
      </c>
      <c r="B8" s="4">
        <f>ISEL!C19</f>
        <v>1</v>
      </c>
      <c r="C8" s="4">
        <f>ISEL!D19</f>
        <v>0.6470588235294118</v>
      </c>
      <c r="D8" s="4">
        <f>ISEL!E19</f>
        <v>0.35294117647058826</v>
      </c>
      <c r="E8" s="4">
        <f>ISEL!F19</f>
        <v>0.94117647058823528</v>
      </c>
      <c r="F8" s="4">
        <f>ISEL!G19</f>
        <v>0.23529411764705882</v>
      </c>
    </row>
    <row r="9" spans="1:6">
      <c r="A9" t="s">
        <v>61</v>
      </c>
      <c r="B9" s="4">
        <f>Makizako!C7</f>
        <v>0.4</v>
      </c>
      <c r="C9" s="4">
        <f>Makizako!D7</f>
        <v>0.4</v>
      </c>
      <c r="D9" s="4">
        <f>Makizako!E7</f>
        <v>0.2</v>
      </c>
      <c r="E9" s="4">
        <f>Makizako!F7</f>
        <v>0.4</v>
      </c>
      <c r="F9" s="4">
        <f>Makizako!G7</f>
        <v>0.2</v>
      </c>
    </row>
    <row r="10" spans="1:6">
      <c r="A10" t="s">
        <v>41</v>
      </c>
      <c r="B10" s="4">
        <f>FRAIL!C17</f>
        <v>1</v>
      </c>
      <c r="C10" s="4">
        <f>FRAIL!D17</f>
        <v>1</v>
      </c>
      <c r="D10" s="4">
        <f>FRAIL!E17</f>
        <v>1</v>
      </c>
      <c r="E10" s="4">
        <f>FRAIL!F17</f>
        <v>0.93333333333333335</v>
      </c>
      <c r="F10" s="4">
        <f>FRAIL!G17</f>
        <v>1</v>
      </c>
    </row>
    <row r="11" spans="1:6">
      <c r="A11" t="s">
        <v>42</v>
      </c>
      <c r="B11" s="4">
        <f>Fried!C8</f>
        <v>1</v>
      </c>
      <c r="C11" s="4">
        <f>Fried!D8</f>
        <v>1</v>
      </c>
      <c r="D11" s="4">
        <f>Fried!E8</f>
        <v>1</v>
      </c>
      <c r="E11" s="4">
        <f>Fried!F8</f>
        <v>0.66666666666666663</v>
      </c>
      <c r="F11" s="4">
        <f>Fried!G8</f>
        <v>0.66666666666666663</v>
      </c>
    </row>
    <row r="12" spans="1:6">
      <c r="A12" t="s">
        <v>44</v>
      </c>
      <c r="B12" s="4">
        <f>Rockwood!C35</f>
        <v>0.96969696969696972</v>
      </c>
      <c r="C12" s="4">
        <f>Rockwood!D35</f>
        <v>0.90909090909090906</v>
      </c>
      <c r="D12" s="4">
        <f>Rockwood!E35</f>
        <v>0.96969696969696972</v>
      </c>
      <c r="E12" s="4">
        <f>Rockwood!F35</f>
        <v>0.66666666666666663</v>
      </c>
      <c r="F12" s="4">
        <f>Rockwood!G35</f>
        <v>0.5757575757575758</v>
      </c>
    </row>
    <row r="13" spans="1:6">
      <c r="A13" t="s">
        <v>25</v>
      </c>
      <c r="B13" s="4">
        <f>Tilburg!C16</f>
        <v>0.9285714285714286</v>
      </c>
      <c r="C13" s="4">
        <f>Tilburg!D16</f>
        <v>0.9285714285714286</v>
      </c>
      <c r="D13" s="4">
        <f>Tilburg!E16</f>
        <v>0.8571428571428571</v>
      </c>
      <c r="E13" s="4">
        <f>Tilburg!F16</f>
        <v>0.6428571428571429</v>
      </c>
      <c r="F13" s="4">
        <f>Tilburg!G16</f>
        <v>0.42857142857142855</v>
      </c>
    </row>
    <row r="14" spans="1:6">
      <c r="A14" t="s">
        <v>56</v>
      </c>
      <c r="B14" s="4">
        <f>Fried!C8</f>
        <v>1</v>
      </c>
      <c r="C14" s="4">
        <f>Fried!D8</f>
        <v>1</v>
      </c>
      <c r="D14" s="4">
        <f>Fried!E8</f>
        <v>1</v>
      </c>
      <c r="E14" s="4">
        <f>Fried!F8</f>
        <v>0.66666666666666663</v>
      </c>
      <c r="F14" s="4">
        <f>Fried!G8</f>
        <v>0.66666666666666663</v>
      </c>
    </row>
    <row r="15" spans="1:6">
      <c r="A15" t="s">
        <v>152</v>
      </c>
      <c r="B15" s="4">
        <f>Barthe!C13</f>
        <v>0.90909090909090906</v>
      </c>
      <c r="C15" s="4">
        <f>Barthe!D13</f>
        <v>0.90909090909090906</v>
      </c>
      <c r="D15" s="4">
        <f>Barthe!E13</f>
        <v>0.90909090909090906</v>
      </c>
      <c r="E15" s="4">
        <f>Barthe!F13</f>
        <v>0.27272727272727271</v>
      </c>
      <c r="F15" s="4">
        <f>Barthe!G13</f>
        <v>0.36363636363636365</v>
      </c>
    </row>
    <row r="16" spans="1:6">
      <c r="A16" t="s">
        <v>153</v>
      </c>
      <c r="B16" s="4">
        <f>'Lubben SNS'!C13</f>
        <v>1</v>
      </c>
      <c r="C16" s="4">
        <f>'Lubben SNS'!D13</f>
        <v>1</v>
      </c>
      <c r="D16" s="4">
        <f>'Lubben SNS'!E13</f>
        <v>0.63636363636363635</v>
      </c>
      <c r="E16" s="4">
        <f>'Lubben SNS'!F13</f>
        <v>0.72727272727272729</v>
      </c>
      <c r="F16" s="4">
        <f>'Lubben SNS'!G13</f>
        <v>0.27272727272727271</v>
      </c>
    </row>
  </sheetData>
  <conditionalFormatting sqref="B2:F9">
    <cfRule type="colorScale" priority="2">
      <colorScale>
        <cfvo type="min"/>
        <cfvo type="percent" val="50"/>
        <cfvo type="max"/>
        <color rgb="FFFF0000"/>
        <color rgb="FFFFEB84"/>
        <color rgb="FF00B050"/>
      </colorScale>
    </cfRule>
  </conditionalFormatting>
  <conditionalFormatting sqref="B10:F16">
    <cfRule type="colorScale" priority="1">
      <colorScale>
        <cfvo type="min"/>
        <cfvo type="percent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93EA-0B1F-0549-BCA4-1FDB135D54CA}">
  <dimension ref="A1:W99"/>
  <sheetViews>
    <sheetView zoomScale="125" zoomScaleNormal="130" workbookViewId="0">
      <pane xSplit="1" ySplit="1" topLeftCell="M84" activePane="bottomRight" state="frozen"/>
      <selection pane="topRight" activeCell="B1" sqref="B1"/>
      <selection pane="bottomLeft" activeCell="A2" sqref="A2"/>
      <selection pane="bottomRight" activeCell="A66" sqref="A66"/>
    </sheetView>
  </sheetViews>
  <sheetFormatPr baseColWidth="10" defaultRowHeight="16"/>
  <cols>
    <col min="1" max="1" width="61" customWidth="1"/>
    <col min="2" max="2" width="5.5" style="9" customWidth="1"/>
    <col min="3" max="3" width="15.33203125" style="9" customWidth="1"/>
    <col min="4" max="4" width="12.5" style="9" customWidth="1"/>
    <col min="5" max="5" width="9.33203125" style="9" customWidth="1"/>
    <col min="6" max="6" width="10" style="9" customWidth="1"/>
    <col min="7" max="7" width="11.6640625" style="9" customWidth="1"/>
    <col min="8" max="8" width="19.5" style="9" customWidth="1"/>
    <col min="9" max="9" width="5.5" style="9" customWidth="1"/>
    <col min="10" max="10" width="7.1640625" style="9" customWidth="1"/>
    <col min="11" max="11" width="9" style="9" customWidth="1"/>
    <col min="12" max="12" width="5.5" style="9" customWidth="1"/>
    <col min="13" max="13" width="22.6640625" style="9" customWidth="1"/>
    <col min="14" max="14" width="8.1640625" style="9" customWidth="1"/>
    <col min="15" max="16" width="5.5" style="9" customWidth="1"/>
    <col min="17" max="17" width="1.83203125" style="11" customWidth="1"/>
    <col min="18" max="18" width="8.5" style="9" customWidth="1"/>
    <col min="19" max="22" width="10.83203125" style="9"/>
  </cols>
  <sheetData>
    <row r="1" spans="1:22">
      <c r="B1" s="9" t="s">
        <v>8</v>
      </c>
      <c r="C1" s="9" t="s">
        <v>20</v>
      </c>
      <c r="D1" s="9" t="s">
        <v>61</v>
      </c>
      <c r="E1" s="9" t="s">
        <v>43</v>
      </c>
      <c r="F1" s="9" t="s">
        <v>21</v>
      </c>
      <c r="G1" s="9" t="s">
        <v>22</v>
      </c>
      <c r="H1" s="9" t="s">
        <v>14</v>
      </c>
      <c r="I1" s="9" t="s">
        <v>41</v>
      </c>
      <c r="J1" s="9" t="s">
        <v>42</v>
      </c>
      <c r="K1" s="9" t="s">
        <v>44</v>
      </c>
      <c r="L1" s="9" t="s">
        <v>54</v>
      </c>
      <c r="M1" s="9" t="s">
        <v>155</v>
      </c>
      <c r="N1" s="9" t="s">
        <v>56</v>
      </c>
      <c r="O1" s="9" t="s">
        <v>25</v>
      </c>
      <c r="P1" s="9" t="s">
        <v>153</v>
      </c>
      <c r="R1" s="9" t="s">
        <v>13</v>
      </c>
      <c r="S1" s="9" t="s">
        <v>0</v>
      </c>
      <c r="T1" s="9" t="s">
        <v>3</v>
      </c>
      <c r="U1" s="9" t="s">
        <v>17</v>
      </c>
      <c r="V1" s="9" t="s">
        <v>6</v>
      </c>
    </row>
    <row r="2" spans="1:22">
      <c r="A2" s="2" t="s">
        <v>99</v>
      </c>
      <c r="D2" s="9" t="s">
        <v>23</v>
      </c>
      <c r="R2" s="9">
        <v>0</v>
      </c>
      <c r="S2" s="16">
        <v>0</v>
      </c>
      <c r="T2" s="9">
        <v>0</v>
      </c>
      <c r="U2" s="9">
        <v>0</v>
      </c>
      <c r="V2" s="16">
        <v>0</v>
      </c>
    </row>
    <row r="3" spans="1:22">
      <c r="A3" t="s">
        <v>89</v>
      </c>
      <c r="E3" s="9" t="s">
        <v>23</v>
      </c>
      <c r="G3" s="9" t="s">
        <v>23</v>
      </c>
      <c r="H3" s="9" t="s">
        <v>23</v>
      </c>
      <c r="R3" s="15" t="s">
        <v>23</v>
      </c>
      <c r="S3" s="15" t="s">
        <v>23</v>
      </c>
      <c r="T3" s="9" t="s">
        <v>23</v>
      </c>
      <c r="U3" s="9" t="s">
        <v>23</v>
      </c>
      <c r="V3" s="16">
        <v>0</v>
      </c>
    </row>
    <row r="4" spans="1:22">
      <c r="A4" t="s">
        <v>74</v>
      </c>
      <c r="C4" s="9" t="s">
        <v>23</v>
      </c>
      <c r="G4" s="9" t="s">
        <v>23</v>
      </c>
      <c r="P4" s="9" t="s">
        <v>23</v>
      </c>
      <c r="R4" s="15" t="s">
        <v>23</v>
      </c>
      <c r="S4" s="15" t="s">
        <v>23</v>
      </c>
      <c r="T4" s="9" t="s">
        <v>23</v>
      </c>
      <c r="U4" s="9" t="s">
        <v>23</v>
      </c>
      <c r="V4" s="16">
        <v>0</v>
      </c>
    </row>
    <row r="5" spans="1:22">
      <c r="A5" t="s">
        <v>75</v>
      </c>
      <c r="C5" s="9" t="s">
        <v>23</v>
      </c>
      <c r="G5" s="9" t="s">
        <v>23</v>
      </c>
      <c r="H5" s="9" t="s">
        <v>23</v>
      </c>
      <c r="P5" s="9" t="s">
        <v>23</v>
      </c>
      <c r="R5" s="15" t="s">
        <v>23</v>
      </c>
      <c r="S5" s="15" t="s">
        <v>23</v>
      </c>
      <c r="T5" s="9" t="s">
        <v>23</v>
      </c>
      <c r="U5" s="9" t="s">
        <v>23</v>
      </c>
      <c r="V5" s="16">
        <v>0</v>
      </c>
    </row>
    <row r="6" spans="1:22">
      <c r="A6" t="s">
        <v>141</v>
      </c>
      <c r="G6" s="9" t="s">
        <v>23</v>
      </c>
      <c r="P6" s="9" t="s">
        <v>23</v>
      </c>
      <c r="R6" s="15" t="s">
        <v>23</v>
      </c>
      <c r="S6" s="15" t="s">
        <v>23</v>
      </c>
      <c r="T6" s="16">
        <v>0</v>
      </c>
      <c r="U6" s="9">
        <v>0</v>
      </c>
      <c r="V6" s="16">
        <v>0</v>
      </c>
    </row>
    <row r="7" spans="1:22">
      <c r="A7" t="s">
        <v>147</v>
      </c>
      <c r="P7" s="9" t="s">
        <v>23</v>
      </c>
      <c r="R7" s="15" t="s">
        <v>23</v>
      </c>
      <c r="S7" s="15" t="s">
        <v>23</v>
      </c>
      <c r="T7" s="9" t="s">
        <v>23</v>
      </c>
      <c r="U7" s="9" t="s">
        <v>23</v>
      </c>
      <c r="V7" s="16">
        <v>0</v>
      </c>
    </row>
    <row r="8" spans="1:22">
      <c r="A8" t="s">
        <v>76</v>
      </c>
      <c r="C8" s="9" t="s">
        <v>23</v>
      </c>
      <c r="G8" s="9" t="s">
        <v>23</v>
      </c>
      <c r="P8" s="9" t="s">
        <v>23</v>
      </c>
      <c r="R8" s="15" t="s">
        <v>23</v>
      </c>
      <c r="S8" s="15" t="s">
        <v>23</v>
      </c>
      <c r="T8" s="9" t="s">
        <v>23</v>
      </c>
      <c r="U8" s="9" t="s">
        <v>23</v>
      </c>
      <c r="V8" s="16">
        <v>0</v>
      </c>
    </row>
    <row r="9" spans="1:22">
      <c r="A9" t="s">
        <v>77</v>
      </c>
      <c r="C9" s="9" t="s">
        <v>23</v>
      </c>
      <c r="G9" s="9" t="s">
        <v>23</v>
      </c>
      <c r="H9" s="9" t="s">
        <v>23</v>
      </c>
      <c r="P9" s="9" t="s">
        <v>23</v>
      </c>
      <c r="R9" s="15" t="s">
        <v>23</v>
      </c>
      <c r="S9" s="15" t="s">
        <v>23</v>
      </c>
      <c r="T9" s="16">
        <v>0</v>
      </c>
      <c r="U9" s="9" t="s">
        <v>23</v>
      </c>
      <c r="V9" s="16">
        <v>0</v>
      </c>
    </row>
    <row r="10" spans="1:22">
      <c r="A10" t="s">
        <v>151</v>
      </c>
      <c r="D10" s="9" t="s">
        <v>23</v>
      </c>
      <c r="E10" s="9" t="s">
        <v>23</v>
      </c>
      <c r="O10" s="9" t="s">
        <v>23</v>
      </c>
      <c r="R10" s="15" t="s">
        <v>23</v>
      </c>
      <c r="S10" s="15" t="s">
        <v>23</v>
      </c>
      <c r="T10" s="9" t="s">
        <v>23</v>
      </c>
      <c r="U10" s="9" t="s">
        <v>23</v>
      </c>
      <c r="V10" s="15" t="s">
        <v>23</v>
      </c>
    </row>
    <row r="11" spans="1:22">
      <c r="A11" t="s">
        <v>115</v>
      </c>
      <c r="H11" s="9" t="s">
        <v>23</v>
      </c>
      <c r="R11" s="15" t="s">
        <v>23</v>
      </c>
      <c r="S11" s="15" t="s">
        <v>23</v>
      </c>
      <c r="T11" s="16">
        <v>0</v>
      </c>
      <c r="U11" s="9" t="s">
        <v>23</v>
      </c>
      <c r="V11" s="16">
        <v>0</v>
      </c>
    </row>
    <row r="12" spans="1:22">
      <c r="A12" t="s">
        <v>133</v>
      </c>
      <c r="B12" s="9" t="s">
        <v>23</v>
      </c>
      <c r="C12" s="9" t="s">
        <v>23</v>
      </c>
      <c r="R12" s="16">
        <v>0</v>
      </c>
      <c r="S12" s="16">
        <v>0</v>
      </c>
      <c r="T12" s="9" t="s">
        <v>23</v>
      </c>
      <c r="U12" s="9" t="s">
        <v>23</v>
      </c>
      <c r="V12" s="15" t="s">
        <v>23</v>
      </c>
    </row>
    <row r="13" spans="1:22">
      <c r="A13" t="s">
        <v>100</v>
      </c>
      <c r="H13" s="9" t="s">
        <v>23</v>
      </c>
      <c r="R13" s="15" t="s">
        <v>23</v>
      </c>
      <c r="S13" s="16">
        <v>0</v>
      </c>
      <c r="T13" s="16">
        <v>0</v>
      </c>
      <c r="U13" s="9" t="s">
        <v>23</v>
      </c>
      <c r="V13" s="16">
        <v>0</v>
      </c>
    </row>
    <row r="14" spans="1:22">
      <c r="A14" t="s">
        <v>73</v>
      </c>
      <c r="G14" s="9" t="s">
        <v>23</v>
      </c>
      <c r="P14" s="9" t="s">
        <v>23</v>
      </c>
      <c r="R14" s="15" t="s">
        <v>23</v>
      </c>
      <c r="S14" s="15" t="s">
        <v>23</v>
      </c>
      <c r="T14" s="9" t="s">
        <v>23</v>
      </c>
      <c r="U14" s="9" t="s">
        <v>23</v>
      </c>
      <c r="V14" s="15" t="s">
        <v>23</v>
      </c>
    </row>
    <row r="15" spans="1:22">
      <c r="A15" t="s">
        <v>84</v>
      </c>
      <c r="B15" s="9" t="s">
        <v>23</v>
      </c>
      <c r="C15" s="9" t="s">
        <v>23</v>
      </c>
      <c r="G15" s="9" t="s">
        <v>23</v>
      </c>
      <c r="H15" s="9" t="s">
        <v>23</v>
      </c>
      <c r="R15" s="15" t="s">
        <v>23</v>
      </c>
      <c r="S15" s="16" t="s">
        <v>23</v>
      </c>
      <c r="T15" s="16">
        <v>0</v>
      </c>
      <c r="U15" s="9" t="s">
        <v>23</v>
      </c>
      <c r="V15" s="16">
        <v>0</v>
      </c>
    </row>
    <row r="16" spans="1:22">
      <c r="A16" t="s">
        <v>146</v>
      </c>
      <c r="F16" s="9" t="s">
        <v>23</v>
      </c>
      <c r="G16" s="9" t="s">
        <v>23</v>
      </c>
      <c r="P16" s="9" t="s">
        <v>23</v>
      </c>
      <c r="R16" s="15" t="s">
        <v>23</v>
      </c>
      <c r="S16" s="15" t="s">
        <v>23</v>
      </c>
      <c r="T16" s="9" t="s">
        <v>23</v>
      </c>
      <c r="U16" s="9" t="s">
        <v>23</v>
      </c>
      <c r="V16" s="15" t="s">
        <v>23</v>
      </c>
    </row>
    <row r="17" spans="1:22">
      <c r="A17" t="s">
        <v>142</v>
      </c>
      <c r="B17" s="9" t="s">
        <v>23</v>
      </c>
      <c r="C17" s="9" t="s">
        <v>23</v>
      </c>
      <c r="F17" s="9" t="s">
        <v>23</v>
      </c>
      <c r="G17" s="9" t="s">
        <v>23</v>
      </c>
      <c r="H17" s="9" t="s">
        <v>23</v>
      </c>
      <c r="P17" s="9" t="s">
        <v>23</v>
      </c>
      <c r="R17" s="15" t="s">
        <v>23</v>
      </c>
      <c r="S17" s="15" t="s">
        <v>23</v>
      </c>
      <c r="T17" s="9" t="s">
        <v>23</v>
      </c>
      <c r="U17" s="9">
        <v>0</v>
      </c>
      <c r="V17" s="15" t="s">
        <v>23</v>
      </c>
    </row>
    <row r="18" spans="1:22">
      <c r="A18" t="s">
        <v>134</v>
      </c>
      <c r="B18" s="9" t="s">
        <v>23</v>
      </c>
      <c r="C18" s="9" t="s">
        <v>23</v>
      </c>
      <c r="G18" s="9" t="s">
        <v>23</v>
      </c>
      <c r="R18" s="16">
        <v>0</v>
      </c>
      <c r="S18" s="16" t="s">
        <v>23</v>
      </c>
      <c r="T18" s="9" t="s">
        <v>23</v>
      </c>
      <c r="U18" s="9">
        <v>0</v>
      </c>
      <c r="V18" s="15" t="s">
        <v>23</v>
      </c>
    </row>
    <row r="19" spans="1:22">
      <c r="A19" t="s">
        <v>94</v>
      </c>
      <c r="O19" s="9" t="s">
        <v>23</v>
      </c>
      <c r="R19" s="16">
        <v>0</v>
      </c>
      <c r="S19" s="16">
        <v>0</v>
      </c>
      <c r="T19" s="16">
        <v>0</v>
      </c>
      <c r="U19" s="9" t="s">
        <v>23</v>
      </c>
      <c r="V19" s="16">
        <v>0</v>
      </c>
    </row>
    <row r="20" spans="1:22">
      <c r="A20" t="s">
        <v>24</v>
      </c>
      <c r="H20" s="9" t="s">
        <v>23</v>
      </c>
      <c r="R20" s="15" t="s">
        <v>23</v>
      </c>
      <c r="S20" s="16">
        <v>0</v>
      </c>
      <c r="T20" s="16">
        <v>0</v>
      </c>
      <c r="U20" s="9" t="s">
        <v>23</v>
      </c>
      <c r="V20" s="16">
        <v>0</v>
      </c>
    </row>
    <row r="21" spans="1:22">
      <c r="A21" t="s">
        <v>90</v>
      </c>
      <c r="H21" s="9" t="s">
        <v>23</v>
      </c>
      <c r="R21" s="15" t="s">
        <v>23</v>
      </c>
      <c r="S21" s="16">
        <v>0</v>
      </c>
      <c r="T21" s="16">
        <v>0</v>
      </c>
      <c r="U21" s="9" t="s">
        <v>23</v>
      </c>
      <c r="V21" s="16">
        <v>0</v>
      </c>
    </row>
    <row r="22" spans="1:22">
      <c r="A22" s="2" t="s">
        <v>98</v>
      </c>
      <c r="D22" s="9" t="s">
        <v>23</v>
      </c>
      <c r="R22" s="16">
        <v>0</v>
      </c>
      <c r="S22" s="16">
        <v>0</v>
      </c>
      <c r="T22" s="16">
        <v>0</v>
      </c>
      <c r="U22" s="9">
        <v>0</v>
      </c>
      <c r="V22" s="16">
        <v>0</v>
      </c>
    </row>
    <row r="23" spans="1:22">
      <c r="A23" s="2" t="s">
        <v>97</v>
      </c>
      <c r="D23" s="9" t="s">
        <v>23</v>
      </c>
      <c r="R23" s="16">
        <v>0</v>
      </c>
      <c r="S23" s="16">
        <v>0</v>
      </c>
      <c r="T23" s="16">
        <v>0</v>
      </c>
      <c r="U23" s="9">
        <v>0</v>
      </c>
      <c r="V23" s="16">
        <v>0</v>
      </c>
    </row>
    <row r="24" spans="1:22">
      <c r="A24" t="s">
        <v>116</v>
      </c>
      <c r="H24" s="9" t="s">
        <v>23</v>
      </c>
      <c r="R24" s="15" t="s">
        <v>23</v>
      </c>
      <c r="S24" s="16">
        <v>0</v>
      </c>
      <c r="T24" s="16">
        <v>0</v>
      </c>
      <c r="U24" s="9" t="s">
        <v>23</v>
      </c>
      <c r="V24" s="16">
        <v>0</v>
      </c>
    </row>
    <row r="25" spans="1:22">
      <c r="A25" t="s">
        <v>117</v>
      </c>
      <c r="H25" s="9" t="s">
        <v>23</v>
      </c>
      <c r="R25" s="15" t="s">
        <v>23</v>
      </c>
      <c r="S25" s="16">
        <v>0</v>
      </c>
      <c r="T25" s="16">
        <v>0</v>
      </c>
      <c r="U25" s="9" t="s">
        <v>23</v>
      </c>
      <c r="V25" s="16">
        <v>0</v>
      </c>
    </row>
    <row r="26" spans="1:22">
      <c r="A26" t="s">
        <v>72</v>
      </c>
      <c r="B26" s="9" t="s">
        <v>23</v>
      </c>
      <c r="G26" s="9" t="s">
        <v>23</v>
      </c>
      <c r="H26" s="9" t="s">
        <v>23</v>
      </c>
      <c r="R26" s="15" t="s">
        <v>23</v>
      </c>
      <c r="S26" s="15" t="s">
        <v>23</v>
      </c>
      <c r="T26" s="16">
        <v>0</v>
      </c>
      <c r="U26" s="9" t="s">
        <v>23</v>
      </c>
      <c r="V26" s="15" t="s">
        <v>23</v>
      </c>
    </row>
    <row r="27" spans="1:22">
      <c r="A27" t="s">
        <v>85</v>
      </c>
      <c r="H27" s="9" t="s">
        <v>23</v>
      </c>
      <c r="R27" s="15" t="s">
        <v>23</v>
      </c>
      <c r="S27" s="15" t="s">
        <v>23</v>
      </c>
      <c r="T27" s="16">
        <v>0</v>
      </c>
      <c r="U27" s="9" t="s">
        <v>23</v>
      </c>
      <c r="V27" s="16">
        <v>0</v>
      </c>
    </row>
    <row r="28" spans="1:22">
      <c r="A28" t="s">
        <v>86</v>
      </c>
      <c r="H28" s="9" t="s">
        <v>23</v>
      </c>
      <c r="R28" s="15" t="s">
        <v>23</v>
      </c>
      <c r="S28" s="16" t="s">
        <v>23</v>
      </c>
      <c r="T28" s="16">
        <v>0</v>
      </c>
      <c r="U28" s="9" t="s">
        <v>23</v>
      </c>
      <c r="V28" s="16">
        <v>0</v>
      </c>
    </row>
    <row r="29" spans="1:22">
      <c r="A29" t="s">
        <v>118</v>
      </c>
      <c r="H29" s="9" t="s">
        <v>23</v>
      </c>
      <c r="R29" s="15" t="s">
        <v>23</v>
      </c>
      <c r="S29" s="16">
        <v>0</v>
      </c>
      <c r="T29" s="16">
        <v>0</v>
      </c>
      <c r="U29" s="9" t="s">
        <v>23</v>
      </c>
      <c r="V29" s="16">
        <v>0</v>
      </c>
    </row>
    <row r="30" spans="1:22">
      <c r="A30" t="s">
        <v>144</v>
      </c>
      <c r="G30" s="9" t="s">
        <v>23</v>
      </c>
      <c r="P30" s="9" t="s">
        <v>23</v>
      </c>
      <c r="R30" s="15" t="s">
        <v>23</v>
      </c>
      <c r="S30" s="15" t="s">
        <v>23</v>
      </c>
      <c r="T30" s="16">
        <v>0</v>
      </c>
      <c r="U30" s="9">
        <v>0</v>
      </c>
      <c r="V30" s="16">
        <v>0</v>
      </c>
    </row>
    <row r="31" spans="1:22">
      <c r="A31" t="s">
        <v>101</v>
      </c>
      <c r="G31" s="9" t="s">
        <v>23</v>
      </c>
      <c r="R31" s="15" t="s">
        <v>23</v>
      </c>
      <c r="S31" s="15" t="s">
        <v>23</v>
      </c>
      <c r="T31" s="16">
        <v>0</v>
      </c>
      <c r="U31" s="9" t="s">
        <v>23</v>
      </c>
      <c r="V31" s="16">
        <v>0</v>
      </c>
    </row>
    <row r="32" spans="1:22">
      <c r="A32" s="2" t="s">
        <v>135</v>
      </c>
      <c r="D32" s="9" t="s">
        <v>23</v>
      </c>
      <c r="E32" s="9" t="s">
        <v>23</v>
      </c>
      <c r="G32" s="9" t="s">
        <v>23</v>
      </c>
      <c r="P32" s="9" t="s">
        <v>23</v>
      </c>
      <c r="R32" s="15" t="s">
        <v>23</v>
      </c>
      <c r="S32" s="16" t="s">
        <v>23</v>
      </c>
      <c r="T32" s="16">
        <v>0</v>
      </c>
      <c r="U32" s="9" t="s">
        <v>23</v>
      </c>
      <c r="V32" s="16">
        <v>0</v>
      </c>
    </row>
    <row r="33" spans="1:22">
      <c r="A33" t="s">
        <v>137</v>
      </c>
      <c r="F33" s="9" t="s">
        <v>23</v>
      </c>
      <c r="R33" s="16">
        <v>0</v>
      </c>
      <c r="S33" s="16">
        <v>0</v>
      </c>
      <c r="T33" s="16">
        <v>0</v>
      </c>
      <c r="U33" s="9" t="s">
        <v>23</v>
      </c>
      <c r="V33" s="15" t="s">
        <v>23</v>
      </c>
    </row>
    <row r="34" spans="1:22">
      <c r="A34" t="s">
        <v>136</v>
      </c>
      <c r="F34" s="9" t="s">
        <v>23</v>
      </c>
      <c r="R34" s="16">
        <v>0</v>
      </c>
      <c r="S34" s="16">
        <v>0</v>
      </c>
      <c r="T34" s="16">
        <v>0</v>
      </c>
      <c r="U34" s="9" t="s">
        <v>23</v>
      </c>
      <c r="V34" s="15" t="s">
        <v>23</v>
      </c>
    </row>
    <row r="35" spans="1:22">
      <c r="A35" t="s">
        <v>119</v>
      </c>
      <c r="C35" s="9" t="s">
        <v>23</v>
      </c>
      <c r="E35" s="9" t="s">
        <v>23</v>
      </c>
      <c r="R35" s="16">
        <v>0</v>
      </c>
      <c r="S35" s="16">
        <v>0</v>
      </c>
      <c r="T35" s="9" t="s">
        <v>23</v>
      </c>
      <c r="U35" s="9" t="s">
        <v>23</v>
      </c>
      <c r="V35" s="16">
        <v>0</v>
      </c>
    </row>
    <row r="36" spans="1:22">
      <c r="A36" t="s">
        <v>82</v>
      </c>
      <c r="C36" s="9" t="s">
        <v>23</v>
      </c>
      <c r="R36" s="16">
        <v>0</v>
      </c>
      <c r="S36" s="15" t="s">
        <v>23</v>
      </c>
      <c r="T36" s="9" t="s">
        <v>23</v>
      </c>
      <c r="U36" s="9" t="s">
        <v>23</v>
      </c>
      <c r="V36" s="15" t="s">
        <v>23</v>
      </c>
    </row>
    <row r="37" spans="1:22" s="7" customFormat="1">
      <c r="A37" s="7" t="s">
        <v>106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s="8" customFormat="1">
      <c r="A38" t="s">
        <v>83</v>
      </c>
      <c r="B38" s="13"/>
      <c r="C38" s="13" t="s">
        <v>23</v>
      </c>
      <c r="D38" s="13"/>
      <c r="E38" s="13"/>
      <c r="F38" s="13"/>
      <c r="G38" s="13" t="s">
        <v>23</v>
      </c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7" t="s">
        <v>23</v>
      </c>
      <c r="S38" s="17" t="s">
        <v>23</v>
      </c>
      <c r="T38" s="17" t="s">
        <v>23</v>
      </c>
      <c r="U38" s="13" t="s">
        <v>23</v>
      </c>
      <c r="V38" s="17" t="s">
        <v>23</v>
      </c>
    </row>
    <row r="39" spans="1:22">
      <c r="A39" t="s">
        <v>29</v>
      </c>
      <c r="G39" s="9" t="s">
        <v>23</v>
      </c>
      <c r="O39" s="9" t="s">
        <v>23</v>
      </c>
      <c r="R39" s="15" t="s">
        <v>23</v>
      </c>
      <c r="S39" s="15" t="s">
        <v>23</v>
      </c>
      <c r="T39" s="15" t="s">
        <v>23</v>
      </c>
      <c r="U39" s="9" t="s">
        <v>23</v>
      </c>
      <c r="V39" s="16">
        <v>0</v>
      </c>
    </row>
    <row r="40" spans="1:22">
      <c r="A40" t="s">
        <v>87</v>
      </c>
      <c r="G40" s="9" t="s">
        <v>23</v>
      </c>
      <c r="R40" s="15" t="s">
        <v>23</v>
      </c>
      <c r="S40" s="15" t="s">
        <v>23</v>
      </c>
      <c r="T40" s="16">
        <v>0</v>
      </c>
      <c r="U40" s="9">
        <v>0</v>
      </c>
      <c r="V40" s="16">
        <v>0</v>
      </c>
    </row>
    <row r="41" spans="1:22">
      <c r="A41" s="2" t="s">
        <v>120</v>
      </c>
      <c r="E41" s="9" t="s">
        <v>23</v>
      </c>
      <c r="R41" s="15" t="s">
        <v>23</v>
      </c>
      <c r="S41" s="15" t="s">
        <v>23</v>
      </c>
      <c r="T41" s="16">
        <v>0</v>
      </c>
      <c r="U41" s="9" t="s">
        <v>23</v>
      </c>
      <c r="V41" s="15" t="s">
        <v>23</v>
      </c>
    </row>
    <row r="42" spans="1:22" s="7" customFormat="1">
      <c r="A42" s="6" t="s">
        <v>107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>
      <c r="A43" t="s">
        <v>26</v>
      </c>
      <c r="N43" s="9" t="s">
        <v>23</v>
      </c>
      <c r="O43" s="9" t="s">
        <v>23</v>
      </c>
      <c r="R43" s="15" t="s">
        <v>23</v>
      </c>
      <c r="S43" s="15" t="s">
        <v>23</v>
      </c>
      <c r="T43" s="9" t="s">
        <v>23</v>
      </c>
      <c r="U43" s="9" t="s">
        <v>23</v>
      </c>
      <c r="V43" s="15" t="s">
        <v>23</v>
      </c>
    </row>
    <row r="44" spans="1:22">
      <c r="A44" s="2" t="s">
        <v>128</v>
      </c>
      <c r="I44" s="9" t="s">
        <v>23</v>
      </c>
      <c r="J44" s="9" t="s">
        <v>23</v>
      </c>
      <c r="K44" s="9" t="s">
        <v>23</v>
      </c>
      <c r="N44" s="9" t="s">
        <v>23</v>
      </c>
      <c r="R44" s="15" t="s">
        <v>23</v>
      </c>
      <c r="S44" s="15" t="s">
        <v>23</v>
      </c>
      <c r="T44" s="15" t="s">
        <v>23</v>
      </c>
      <c r="U44" s="9" t="s">
        <v>23</v>
      </c>
      <c r="V44" s="15" t="s">
        <v>23</v>
      </c>
    </row>
    <row r="45" spans="1:22">
      <c r="A45" s="2" t="s">
        <v>129</v>
      </c>
      <c r="I45" s="9" t="s">
        <v>23</v>
      </c>
      <c r="J45" s="9" t="s">
        <v>23</v>
      </c>
      <c r="K45" s="9" t="s">
        <v>23</v>
      </c>
      <c r="N45" s="9" t="s">
        <v>23</v>
      </c>
      <c r="R45" s="15" t="s">
        <v>23</v>
      </c>
      <c r="S45" s="15" t="s">
        <v>23</v>
      </c>
      <c r="T45" s="15" t="s">
        <v>23</v>
      </c>
      <c r="U45" s="9" t="s">
        <v>23</v>
      </c>
      <c r="V45" s="15" t="s">
        <v>23</v>
      </c>
    </row>
    <row r="46" spans="1:22">
      <c r="A46" t="s">
        <v>92</v>
      </c>
      <c r="O46" s="9" t="s">
        <v>23</v>
      </c>
      <c r="R46" s="15" t="s">
        <v>23</v>
      </c>
      <c r="S46" s="15" t="s">
        <v>23</v>
      </c>
      <c r="T46" s="9" t="s">
        <v>23</v>
      </c>
      <c r="U46" s="9">
        <v>0</v>
      </c>
      <c r="V46" s="16">
        <v>0</v>
      </c>
    </row>
    <row r="47" spans="1:22">
      <c r="A47" t="s">
        <v>91</v>
      </c>
      <c r="O47" s="9" t="s">
        <v>23</v>
      </c>
      <c r="R47" s="15" t="s">
        <v>23</v>
      </c>
      <c r="S47" s="15" t="s">
        <v>23</v>
      </c>
      <c r="T47" s="9" t="s">
        <v>23</v>
      </c>
      <c r="U47" s="9">
        <v>0</v>
      </c>
      <c r="V47" s="16">
        <v>0</v>
      </c>
    </row>
    <row r="48" spans="1:22">
      <c r="A48" s="2" t="s">
        <v>105</v>
      </c>
      <c r="K48" s="9" t="s">
        <v>23</v>
      </c>
      <c r="R48" s="15" t="s">
        <v>23</v>
      </c>
      <c r="S48" s="15" t="s">
        <v>23</v>
      </c>
      <c r="T48" s="9" t="s">
        <v>23</v>
      </c>
      <c r="U48" s="9" t="s">
        <v>23</v>
      </c>
      <c r="V48" s="16">
        <v>0</v>
      </c>
    </row>
    <row r="49" spans="1:23">
      <c r="A49" s="2" t="s">
        <v>125</v>
      </c>
      <c r="J49" s="9" t="s">
        <v>23</v>
      </c>
      <c r="R49" s="15" t="s">
        <v>23</v>
      </c>
      <c r="S49" s="15" t="s">
        <v>23</v>
      </c>
      <c r="T49" s="15" t="s">
        <v>23</v>
      </c>
      <c r="U49" s="9" t="s">
        <v>23</v>
      </c>
      <c r="V49" s="15" t="s">
        <v>23</v>
      </c>
    </row>
    <row r="50" spans="1:23">
      <c r="A50" t="s">
        <v>122</v>
      </c>
      <c r="O50" s="9" t="s">
        <v>23</v>
      </c>
      <c r="R50" s="15" t="s">
        <v>23</v>
      </c>
      <c r="S50" s="15" t="s">
        <v>23</v>
      </c>
      <c r="T50" s="9" t="s">
        <v>23</v>
      </c>
      <c r="U50" s="9" t="s">
        <v>23</v>
      </c>
      <c r="V50" s="16">
        <v>0</v>
      </c>
    </row>
    <row r="51" spans="1:23">
      <c r="A51" t="s">
        <v>121</v>
      </c>
      <c r="O51" s="9" t="s">
        <v>23</v>
      </c>
      <c r="R51" s="15" t="s">
        <v>23</v>
      </c>
      <c r="S51" s="15" t="s">
        <v>23</v>
      </c>
      <c r="T51" s="9" t="s">
        <v>23</v>
      </c>
      <c r="U51" s="9">
        <v>0</v>
      </c>
      <c r="V51" s="16">
        <v>0</v>
      </c>
    </row>
    <row r="52" spans="1:23">
      <c r="A52" t="s">
        <v>96</v>
      </c>
      <c r="I52" s="9" t="s">
        <v>23</v>
      </c>
      <c r="K52" s="9" t="s">
        <v>23</v>
      </c>
      <c r="L52" s="9" t="s">
        <v>23</v>
      </c>
      <c r="R52" s="15" t="s">
        <v>23</v>
      </c>
      <c r="S52" s="15" t="s">
        <v>23</v>
      </c>
      <c r="T52" s="15" t="s">
        <v>23</v>
      </c>
      <c r="U52" s="9" t="s">
        <v>23</v>
      </c>
      <c r="V52" s="15" t="s">
        <v>23</v>
      </c>
    </row>
    <row r="53" spans="1:23">
      <c r="A53" s="2" t="s">
        <v>123</v>
      </c>
      <c r="K53" s="9" t="s">
        <v>23</v>
      </c>
      <c r="R53" s="15" t="s">
        <v>23</v>
      </c>
      <c r="S53" s="16" t="s">
        <v>23</v>
      </c>
      <c r="T53" s="9" t="s">
        <v>23</v>
      </c>
      <c r="U53" s="9">
        <v>0</v>
      </c>
      <c r="V53" s="16">
        <v>0</v>
      </c>
    </row>
    <row r="54" spans="1:23">
      <c r="A54" t="s">
        <v>124</v>
      </c>
      <c r="I54" s="9" t="s">
        <v>23</v>
      </c>
      <c r="K54" s="9" t="s">
        <v>23</v>
      </c>
      <c r="L54" s="9" t="s">
        <v>23</v>
      </c>
      <c r="R54" s="15" t="s">
        <v>23</v>
      </c>
      <c r="S54" s="15" t="s">
        <v>23</v>
      </c>
      <c r="T54" s="15" t="s">
        <v>23</v>
      </c>
      <c r="U54" s="9" t="s">
        <v>23</v>
      </c>
      <c r="V54" s="15" t="s">
        <v>23</v>
      </c>
    </row>
    <row r="55" spans="1:23">
      <c r="A55" s="2" t="s">
        <v>130</v>
      </c>
      <c r="J55" s="9" t="s">
        <v>23</v>
      </c>
      <c r="K55" s="9" t="s">
        <v>23</v>
      </c>
      <c r="R55" s="15" t="s">
        <v>23</v>
      </c>
      <c r="S55" s="15" t="s">
        <v>23</v>
      </c>
      <c r="T55" s="15" t="s">
        <v>23</v>
      </c>
      <c r="U55" s="16">
        <v>0</v>
      </c>
      <c r="V55" s="16">
        <v>0</v>
      </c>
    </row>
    <row r="56" spans="1:23">
      <c r="A56" s="2" t="s">
        <v>131</v>
      </c>
      <c r="J56" s="9" t="s">
        <v>23</v>
      </c>
      <c r="K56" s="9" t="s">
        <v>23</v>
      </c>
      <c r="O56" s="9" t="s">
        <v>23</v>
      </c>
      <c r="R56" s="15" t="s">
        <v>23</v>
      </c>
      <c r="S56" s="15" t="s">
        <v>23</v>
      </c>
      <c r="T56" s="15" t="s">
        <v>23</v>
      </c>
      <c r="U56" s="16">
        <v>0</v>
      </c>
      <c r="V56" s="16">
        <v>0</v>
      </c>
    </row>
    <row r="57" spans="1:23" s="7" customFormat="1">
      <c r="A57" s="6" t="s">
        <v>108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3">
      <c r="A58" s="2" t="s">
        <v>52</v>
      </c>
      <c r="K58" s="9" t="s">
        <v>23</v>
      </c>
      <c r="R58" s="15" t="s">
        <v>23</v>
      </c>
      <c r="S58" s="15" t="s">
        <v>23</v>
      </c>
      <c r="T58" s="15" t="s">
        <v>23</v>
      </c>
      <c r="U58" s="9" t="s">
        <v>23</v>
      </c>
      <c r="V58" s="15" t="s">
        <v>23</v>
      </c>
    </row>
    <row r="59" spans="1:23">
      <c r="A59" s="2" t="s">
        <v>104</v>
      </c>
      <c r="I59" s="9" t="s">
        <v>23</v>
      </c>
      <c r="J59" s="9" t="s">
        <v>23</v>
      </c>
      <c r="K59" s="9" t="s">
        <v>23</v>
      </c>
      <c r="N59" s="9" t="s">
        <v>23</v>
      </c>
      <c r="O59" s="9" t="s">
        <v>23</v>
      </c>
      <c r="R59" s="15" t="s">
        <v>23</v>
      </c>
      <c r="S59" s="15" t="s">
        <v>23</v>
      </c>
      <c r="T59" s="9" t="s">
        <v>23</v>
      </c>
      <c r="U59" s="9" t="s">
        <v>23</v>
      </c>
      <c r="V59" s="15" t="s">
        <v>23</v>
      </c>
    </row>
    <row r="60" spans="1:23">
      <c r="A60" s="2" t="s">
        <v>57</v>
      </c>
      <c r="L60" s="9" t="s">
        <v>23</v>
      </c>
      <c r="N60" s="9" t="s">
        <v>23</v>
      </c>
      <c r="R60" s="15" t="s">
        <v>23</v>
      </c>
      <c r="S60" s="15" t="s">
        <v>23</v>
      </c>
      <c r="T60" s="9" t="s">
        <v>23</v>
      </c>
      <c r="U60" s="9" t="s">
        <v>23</v>
      </c>
      <c r="V60" s="15" t="s">
        <v>23</v>
      </c>
      <c r="W60" s="9"/>
    </row>
    <row r="61" spans="1:23">
      <c r="A61" s="2" t="s">
        <v>58</v>
      </c>
      <c r="L61" s="9" t="s">
        <v>23</v>
      </c>
      <c r="N61" s="9" t="s">
        <v>23</v>
      </c>
      <c r="R61" s="15" t="s">
        <v>23</v>
      </c>
      <c r="S61" s="15" t="s">
        <v>23</v>
      </c>
      <c r="T61" s="16">
        <v>0</v>
      </c>
      <c r="U61" s="9">
        <v>0</v>
      </c>
      <c r="V61" s="15" t="s">
        <v>23</v>
      </c>
    </row>
    <row r="62" spans="1:23" s="7" customFormat="1">
      <c r="A62" s="6" t="s">
        <v>109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3">
      <c r="A63" t="s">
        <v>114</v>
      </c>
      <c r="G63" s="9" t="s">
        <v>23</v>
      </c>
      <c r="H63" s="9" t="s">
        <v>23</v>
      </c>
      <c r="R63" s="15" t="s">
        <v>23</v>
      </c>
      <c r="S63" s="15" t="s">
        <v>23</v>
      </c>
      <c r="T63" s="9" t="s">
        <v>23</v>
      </c>
      <c r="U63" s="9" t="s">
        <v>23</v>
      </c>
      <c r="V63" s="15" t="s">
        <v>23</v>
      </c>
    </row>
    <row r="64" spans="1:23">
      <c r="A64" t="s">
        <v>27</v>
      </c>
      <c r="K64" s="9" t="s">
        <v>23</v>
      </c>
      <c r="O64" s="9" t="s">
        <v>23</v>
      </c>
      <c r="R64" s="15" t="s">
        <v>23</v>
      </c>
      <c r="S64" s="15" t="s">
        <v>23</v>
      </c>
      <c r="T64" s="15" t="s">
        <v>23</v>
      </c>
      <c r="U64" s="9" t="s">
        <v>23</v>
      </c>
      <c r="V64" s="15" t="s">
        <v>23</v>
      </c>
    </row>
    <row r="65" spans="1:22">
      <c r="A65" t="s">
        <v>28</v>
      </c>
      <c r="K65" s="9" t="s">
        <v>23</v>
      </c>
      <c r="O65" s="9" t="s">
        <v>23</v>
      </c>
      <c r="R65" s="15" t="s">
        <v>23</v>
      </c>
      <c r="S65" s="15" t="s">
        <v>23</v>
      </c>
      <c r="T65" s="15" t="s">
        <v>23</v>
      </c>
      <c r="U65" s="9" t="s">
        <v>23</v>
      </c>
      <c r="V65" s="15" t="s">
        <v>23</v>
      </c>
    </row>
    <row r="66" spans="1:22">
      <c r="A66" t="s">
        <v>138</v>
      </c>
      <c r="K66" s="9" t="s">
        <v>23</v>
      </c>
      <c r="O66" s="9" t="s">
        <v>23</v>
      </c>
      <c r="R66" s="15" t="s">
        <v>23</v>
      </c>
      <c r="S66" s="15" t="s">
        <v>23</v>
      </c>
      <c r="T66" s="16">
        <v>0</v>
      </c>
      <c r="U66" s="9" t="s">
        <v>23</v>
      </c>
      <c r="V66" s="15" t="s">
        <v>23</v>
      </c>
    </row>
    <row r="67" spans="1:22">
      <c r="A67" t="s">
        <v>139</v>
      </c>
      <c r="R67" s="9">
        <v>0</v>
      </c>
      <c r="S67" s="15" t="s">
        <v>23</v>
      </c>
      <c r="T67" s="16">
        <v>0</v>
      </c>
      <c r="U67" s="9">
        <v>0</v>
      </c>
      <c r="V67" s="15" t="s">
        <v>23</v>
      </c>
    </row>
    <row r="68" spans="1:22">
      <c r="A68" t="s">
        <v>140</v>
      </c>
      <c r="R68" s="9">
        <v>0</v>
      </c>
      <c r="S68" s="15" t="s">
        <v>23</v>
      </c>
      <c r="T68" s="9" t="s">
        <v>23</v>
      </c>
      <c r="U68" s="9">
        <v>0</v>
      </c>
      <c r="V68" s="15" t="s">
        <v>23</v>
      </c>
    </row>
    <row r="69" spans="1:22">
      <c r="A69" s="2" t="s">
        <v>102</v>
      </c>
      <c r="K69" s="9" t="s">
        <v>23</v>
      </c>
      <c r="R69" s="9" t="s">
        <v>23</v>
      </c>
      <c r="S69" s="16">
        <v>0</v>
      </c>
      <c r="T69" s="9" t="s">
        <v>23</v>
      </c>
      <c r="U69" s="9" t="s">
        <v>23</v>
      </c>
      <c r="V69" s="16">
        <v>0</v>
      </c>
    </row>
    <row r="70" spans="1:22">
      <c r="A70" s="2" t="s">
        <v>103</v>
      </c>
      <c r="K70" s="9" t="s">
        <v>23</v>
      </c>
      <c r="R70" s="9" t="s">
        <v>23</v>
      </c>
      <c r="S70" s="16">
        <v>0</v>
      </c>
      <c r="T70" s="9" t="s">
        <v>23</v>
      </c>
      <c r="U70" s="9">
        <v>0</v>
      </c>
      <c r="V70" s="16">
        <v>0</v>
      </c>
    </row>
    <row r="71" spans="1:22">
      <c r="A71" s="2" t="s">
        <v>49</v>
      </c>
      <c r="K71" s="9" t="s">
        <v>23</v>
      </c>
      <c r="N71" s="9" t="s">
        <v>23</v>
      </c>
      <c r="R71" s="9" t="s">
        <v>23</v>
      </c>
      <c r="S71" s="16">
        <v>0</v>
      </c>
      <c r="T71" s="9" t="s">
        <v>23</v>
      </c>
      <c r="U71" s="9" t="s">
        <v>23</v>
      </c>
      <c r="V71" s="16">
        <v>0</v>
      </c>
    </row>
    <row r="72" spans="1:22" s="7" customFormat="1">
      <c r="A72" s="6" t="s">
        <v>95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>
      <c r="A73" s="2" t="s">
        <v>31</v>
      </c>
      <c r="I73" s="9" t="s">
        <v>23</v>
      </c>
      <c r="K73" s="9" t="s">
        <v>23</v>
      </c>
      <c r="R73" s="15" t="s">
        <v>23</v>
      </c>
      <c r="S73" s="15" t="s">
        <v>23</v>
      </c>
      <c r="T73" s="15" t="s">
        <v>23</v>
      </c>
      <c r="U73" s="15" t="s">
        <v>23</v>
      </c>
      <c r="V73" s="15" t="s">
        <v>23</v>
      </c>
    </row>
    <row r="74" spans="1:22">
      <c r="A74" s="2" t="s">
        <v>32</v>
      </c>
      <c r="I74" s="9" t="s">
        <v>23</v>
      </c>
      <c r="K74" s="9" t="s">
        <v>23</v>
      </c>
      <c r="R74" s="15" t="s">
        <v>23</v>
      </c>
      <c r="S74" s="15" t="s">
        <v>23</v>
      </c>
      <c r="T74" s="15" t="s">
        <v>23</v>
      </c>
      <c r="U74" s="15" t="s">
        <v>23</v>
      </c>
      <c r="V74" s="15" t="s">
        <v>23</v>
      </c>
    </row>
    <row r="75" spans="1:22">
      <c r="A75" s="2" t="s">
        <v>33</v>
      </c>
      <c r="I75" s="9" t="s">
        <v>23</v>
      </c>
      <c r="K75" s="9" t="s">
        <v>23</v>
      </c>
      <c r="R75" s="15" t="s">
        <v>23</v>
      </c>
      <c r="S75" s="15" t="s">
        <v>23</v>
      </c>
      <c r="T75" s="15" t="s">
        <v>23</v>
      </c>
      <c r="U75" s="15" t="s">
        <v>23</v>
      </c>
      <c r="V75" s="15" t="s">
        <v>23</v>
      </c>
    </row>
    <row r="76" spans="1:22">
      <c r="A76" s="2" t="s">
        <v>34</v>
      </c>
      <c r="I76" s="9" t="s">
        <v>23</v>
      </c>
      <c r="K76" s="9" t="s">
        <v>23</v>
      </c>
      <c r="R76" s="15" t="s">
        <v>23</v>
      </c>
      <c r="S76" s="15" t="s">
        <v>23</v>
      </c>
      <c r="T76" s="15" t="s">
        <v>23</v>
      </c>
      <c r="U76" s="15" t="s">
        <v>23</v>
      </c>
      <c r="V76" s="15" t="s">
        <v>23</v>
      </c>
    </row>
    <row r="77" spans="1:22">
      <c r="A77" s="2" t="s">
        <v>35</v>
      </c>
      <c r="I77" s="9" t="s">
        <v>23</v>
      </c>
      <c r="K77" s="9" t="s">
        <v>23</v>
      </c>
      <c r="R77" s="9" t="s">
        <v>23</v>
      </c>
      <c r="S77" s="15" t="s">
        <v>23</v>
      </c>
      <c r="T77" s="15" t="s">
        <v>23</v>
      </c>
      <c r="U77" s="9">
        <v>0</v>
      </c>
      <c r="V77" s="15" t="s">
        <v>23</v>
      </c>
    </row>
    <row r="78" spans="1:22">
      <c r="A78" s="2" t="s">
        <v>36</v>
      </c>
      <c r="I78" s="9" t="s">
        <v>23</v>
      </c>
      <c r="K78" s="9" t="s">
        <v>23</v>
      </c>
      <c r="R78" s="9" t="s">
        <v>23</v>
      </c>
      <c r="S78" s="15" t="s">
        <v>23</v>
      </c>
      <c r="T78" s="9" t="s">
        <v>23</v>
      </c>
      <c r="U78" s="9" t="s">
        <v>23</v>
      </c>
      <c r="V78" s="15" t="s">
        <v>23</v>
      </c>
    </row>
    <row r="79" spans="1:22">
      <c r="A79" s="2" t="s">
        <v>37</v>
      </c>
      <c r="I79" s="9" t="s">
        <v>23</v>
      </c>
      <c r="K79" s="9" t="s">
        <v>23</v>
      </c>
      <c r="R79" s="9" t="s">
        <v>23</v>
      </c>
      <c r="S79" s="15" t="s">
        <v>23</v>
      </c>
      <c r="T79" s="9" t="s">
        <v>23</v>
      </c>
      <c r="U79" s="9" t="s">
        <v>23</v>
      </c>
      <c r="V79" s="15" t="s">
        <v>23</v>
      </c>
    </row>
    <row r="80" spans="1:22">
      <c r="A80" s="2" t="s">
        <v>38</v>
      </c>
      <c r="I80" s="9" t="s">
        <v>23</v>
      </c>
      <c r="K80" s="9" t="s">
        <v>23</v>
      </c>
      <c r="R80" s="9" t="s">
        <v>23</v>
      </c>
      <c r="S80" s="15" t="s">
        <v>23</v>
      </c>
      <c r="T80" s="9" t="s">
        <v>23</v>
      </c>
      <c r="U80" s="9" t="s">
        <v>23</v>
      </c>
      <c r="V80" s="15" t="s">
        <v>23</v>
      </c>
    </row>
    <row r="81" spans="1:22">
      <c r="A81" s="2" t="s">
        <v>39</v>
      </c>
      <c r="I81" s="9" t="s">
        <v>23</v>
      </c>
      <c r="K81" s="9" t="s">
        <v>23</v>
      </c>
      <c r="R81" s="9" t="s">
        <v>23</v>
      </c>
      <c r="S81" s="15" t="s">
        <v>23</v>
      </c>
      <c r="T81" s="9" t="s">
        <v>23</v>
      </c>
      <c r="U81" s="9" t="s">
        <v>23</v>
      </c>
      <c r="V81" s="15" t="s">
        <v>23</v>
      </c>
    </row>
    <row r="82" spans="1:22">
      <c r="A82" s="2" t="s">
        <v>40</v>
      </c>
      <c r="I82" s="9" t="s">
        <v>23</v>
      </c>
      <c r="K82" s="9" t="s">
        <v>23</v>
      </c>
      <c r="R82" s="15" t="s">
        <v>23</v>
      </c>
      <c r="S82" s="15" t="s">
        <v>23</v>
      </c>
      <c r="T82" s="15" t="s">
        <v>23</v>
      </c>
      <c r="U82" s="15" t="s">
        <v>23</v>
      </c>
      <c r="V82" s="15" t="s">
        <v>23</v>
      </c>
    </row>
    <row r="83" spans="1:22">
      <c r="A83" s="2" t="s">
        <v>50</v>
      </c>
      <c r="K83" s="9" t="s">
        <v>23</v>
      </c>
      <c r="R83" s="9" t="s">
        <v>23</v>
      </c>
      <c r="S83" s="15" t="s">
        <v>23</v>
      </c>
      <c r="T83" s="9" t="s">
        <v>23</v>
      </c>
      <c r="U83" s="9">
        <v>0</v>
      </c>
      <c r="V83" s="16">
        <v>0</v>
      </c>
    </row>
    <row r="84" spans="1:22" s="7" customFormat="1">
      <c r="A84" s="6" t="s">
        <v>111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>
      <c r="A85" s="2" t="s">
        <v>45</v>
      </c>
      <c r="K85" s="9" t="s">
        <v>23</v>
      </c>
      <c r="L85" s="9" t="s">
        <v>23</v>
      </c>
      <c r="M85" s="9" t="s">
        <v>23</v>
      </c>
      <c r="R85" s="9" t="s">
        <v>23</v>
      </c>
      <c r="S85" s="15" t="s">
        <v>23</v>
      </c>
      <c r="T85" s="9" t="s">
        <v>23</v>
      </c>
      <c r="U85" s="9">
        <v>0</v>
      </c>
      <c r="V85" s="16">
        <v>0</v>
      </c>
    </row>
    <row r="86" spans="1:22">
      <c r="A86" s="2" t="s">
        <v>46</v>
      </c>
      <c r="K86" s="9" t="s">
        <v>23</v>
      </c>
      <c r="L86" s="9" t="s">
        <v>23</v>
      </c>
      <c r="M86" s="9" t="s">
        <v>23</v>
      </c>
      <c r="N86" s="9" t="s">
        <v>23</v>
      </c>
      <c r="R86" s="9" t="s">
        <v>23</v>
      </c>
      <c r="S86" s="15" t="s">
        <v>23</v>
      </c>
      <c r="T86" s="9" t="s">
        <v>23</v>
      </c>
      <c r="U86" s="9">
        <v>0</v>
      </c>
      <c r="V86" s="16">
        <v>0</v>
      </c>
    </row>
    <row r="87" spans="1:22">
      <c r="A87" s="2" t="s">
        <v>47</v>
      </c>
      <c r="K87" s="9" t="s">
        <v>23</v>
      </c>
      <c r="L87" s="9" t="s">
        <v>23</v>
      </c>
      <c r="M87" s="9" t="s">
        <v>23</v>
      </c>
      <c r="N87" s="9" t="s">
        <v>23</v>
      </c>
      <c r="R87" s="9" t="s">
        <v>23</v>
      </c>
      <c r="S87" s="15" t="s">
        <v>23</v>
      </c>
      <c r="T87" s="9" t="s">
        <v>23</v>
      </c>
      <c r="U87" s="9">
        <v>0</v>
      </c>
      <c r="V87" s="16">
        <v>0</v>
      </c>
    </row>
    <row r="88" spans="1:22">
      <c r="A88" s="2" t="s">
        <v>48</v>
      </c>
      <c r="K88" s="9" t="s">
        <v>23</v>
      </c>
      <c r="L88" s="9" t="s">
        <v>23</v>
      </c>
      <c r="M88" s="9" t="s">
        <v>23</v>
      </c>
      <c r="R88" s="9">
        <v>0</v>
      </c>
      <c r="S88" s="15" t="s">
        <v>23</v>
      </c>
      <c r="T88" s="9" t="s">
        <v>23</v>
      </c>
      <c r="U88" s="9">
        <v>0</v>
      </c>
      <c r="V88" s="16">
        <v>0</v>
      </c>
    </row>
    <row r="89" spans="1:22">
      <c r="A89" s="2" t="s">
        <v>55</v>
      </c>
      <c r="L89" s="9" t="s">
        <v>23</v>
      </c>
      <c r="M89" s="9" t="s">
        <v>23</v>
      </c>
      <c r="R89" s="9" t="s">
        <v>23</v>
      </c>
      <c r="S89" s="15" t="s">
        <v>23</v>
      </c>
      <c r="T89" s="9" t="s">
        <v>23</v>
      </c>
      <c r="U89" s="9">
        <v>0</v>
      </c>
      <c r="V89" s="16">
        <v>0</v>
      </c>
    </row>
    <row r="90" spans="1:22">
      <c r="A90" s="2" t="s">
        <v>126</v>
      </c>
      <c r="L90" s="9" t="s">
        <v>23</v>
      </c>
      <c r="M90" s="9" t="s">
        <v>23</v>
      </c>
      <c r="R90" s="9" t="s">
        <v>23</v>
      </c>
      <c r="S90" s="16">
        <v>0</v>
      </c>
      <c r="T90" s="9" t="s">
        <v>23</v>
      </c>
      <c r="U90" s="9">
        <v>0</v>
      </c>
      <c r="V90" s="16">
        <v>0</v>
      </c>
    </row>
    <row r="91" spans="1:22">
      <c r="A91" s="2" t="s">
        <v>127</v>
      </c>
      <c r="L91" s="9" t="s">
        <v>23</v>
      </c>
      <c r="M91" s="9" t="s">
        <v>23</v>
      </c>
      <c r="R91" s="9" t="s">
        <v>23</v>
      </c>
      <c r="S91" s="15" t="s">
        <v>23</v>
      </c>
      <c r="T91" s="9" t="s">
        <v>23</v>
      </c>
      <c r="U91" s="9">
        <v>0</v>
      </c>
      <c r="V91" s="16">
        <v>0</v>
      </c>
    </row>
    <row r="92" spans="1:22">
      <c r="A92" s="2" t="s">
        <v>110</v>
      </c>
      <c r="K92" s="9" t="s">
        <v>23</v>
      </c>
      <c r="R92" s="15" t="s">
        <v>23</v>
      </c>
      <c r="S92" s="15" t="s">
        <v>23</v>
      </c>
      <c r="T92" s="9" t="s">
        <v>23</v>
      </c>
      <c r="U92" s="9" t="s">
        <v>23</v>
      </c>
      <c r="V92" s="16" t="s">
        <v>23</v>
      </c>
    </row>
    <row r="93" spans="1:22" s="7" customFormat="1">
      <c r="A93" s="6" t="s">
        <v>112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>
      <c r="A94" s="2" t="s">
        <v>132</v>
      </c>
      <c r="O94" s="9" t="s">
        <v>23</v>
      </c>
      <c r="R94" s="9" t="s">
        <v>23</v>
      </c>
      <c r="S94" s="16" t="s">
        <v>23</v>
      </c>
      <c r="T94" s="9" t="s">
        <v>23</v>
      </c>
      <c r="U94" s="9">
        <v>0</v>
      </c>
      <c r="V94" s="15">
        <v>0</v>
      </c>
    </row>
    <row r="95" spans="1:22">
      <c r="A95" s="2" t="s">
        <v>51</v>
      </c>
      <c r="K95" s="9" t="s">
        <v>23</v>
      </c>
      <c r="R95" s="9" t="s">
        <v>23</v>
      </c>
      <c r="S95" s="15" t="s">
        <v>23</v>
      </c>
      <c r="T95" s="9" t="s">
        <v>23</v>
      </c>
      <c r="U95" s="9">
        <v>0</v>
      </c>
      <c r="V95" s="15" t="s">
        <v>156</v>
      </c>
    </row>
    <row r="96" spans="1:22" s="7" customFormat="1">
      <c r="A96" s="6" t="s">
        <v>113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>
      <c r="A97" s="2" t="s">
        <v>53</v>
      </c>
      <c r="K97" s="9" t="s">
        <v>23</v>
      </c>
      <c r="R97" s="9" t="s">
        <v>23</v>
      </c>
      <c r="S97" s="15" t="s">
        <v>23</v>
      </c>
      <c r="T97" s="9" t="s">
        <v>23</v>
      </c>
      <c r="U97" s="9" t="s">
        <v>23</v>
      </c>
      <c r="V97" s="9">
        <v>0</v>
      </c>
    </row>
    <row r="98" spans="1:22">
      <c r="A98" s="2" t="s">
        <v>59</v>
      </c>
      <c r="N98" s="9" t="s">
        <v>23</v>
      </c>
      <c r="R98" s="9" t="s">
        <v>23</v>
      </c>
      <c r="S98" s="15" t="s">
        <v>23</v>
      </c>
      <c r="T98" s="9" t="s">
        <v>23</v>
      </c>
      <c r="U98" s="9" t="s">
        <v>23</v>
      </c>
      <c r="V98" s="9" t="s">
        <v>23</v>
      </c>
    </row>
    <row r="99" spans="1:22">
      <c r="A99" s="2" t="s">
        <v>60</v>
      </c>
      <c r="N99" s="9" t="s">
        <v>23</v>
      </c>
      <c r="R99" s="9">
        <v>0</v>
      </c>
      <c r="S99" s="16">
        <v>0</v>
      </c>
      <c r="T99" s="9" t="s">
        <v>23</v>
      </c>
      <c r="U99" s="9" t="s">
        <v>23</v>
      </c>
      <c r="V99" s="9">
        <v>0</v>
      </c>
    </row>
  </sheetData>
  <autoFilter ref="A1:V99" xr:uid="{445593EA-0B1F-0549-BCA4-1FDB135D54C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3C15-7B43-1649-80B3-60C3ABBA424A}">
  <dimension ref="A1:G6"/>
  <sheetViews>
    <sheetView topLeftCell="B1" workbookViewId="0">
      <selection activeCell="A4" sqref="A4"/>
    </sheetView>
  </sheetViews>
  <sheetFormatPr baseColWidth="10" defaultRowHeight="16"/>
  <cols>
    <col min="1" max="1" width="55.83203125" customWidth="1"/>
    <col min="2" max="2" width="37.1640625" style="9" customWidth="1"/>
    <col min="3" max="7" width="10.83203125" style="9"/>
  </cols>
  <sheetData>
    <row r="1" spans="1:7">
      <c r="B1" s="9" t="s">
        <v>21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studies'!A17</f>
        <v>Has someone they can trust/confidant</v>
      </c>
      <c r="B2" s="9" t="str">
        <f>'All scales all studies'!F17</f>
        <v>X</v>
      </c>
      <c r="C2" s="9" t="str">
        <f>'All scales all studies'!R17</f>
        <v>X</v>
      </c>
      <c r="D2" s="9" t="str">
        <f>'All scales all studies'!S17</f>
        <v>X</v>
      </c>
      <c r="E2" s="9" t="str">
        <f>'All scales all studies'!T17</f>
        <v>X</v>
      </c>
      <c r="F2" s="9">
        <f>'All scales all studies'!U17</f>
        <v>0</v>
      </c>
      <c r="G2" s="9" t="str">
        <f>'All scales all studies'!V17</f>
        <v>X</v>
      </c>
    </row>
    <row r="3" spans="1:7">
      <c r="A3" t="str">
        <f>'All scales all studies'!A33</f>
        <v>How often do family/friends make too many demands of you?</v>
      </c>
      <c r="B3" s="9" t="str">
        <f>'All scales all studies'!F33</f>
        <v>X</v>
      </c>
      <c r="C3" s="9">
        <f>'All scales all studies'!R33</f>
        <v>0</v>
      </c>
      <c r="D3" s="9">
        <f>'All scales all studies'!S33</f>
        <v>0</v>
      </c>
      <c r="E3" s="9">
        <f>'All scales all studies'!T34</f>
        <v>0</v>
      </c>
      <c r="F3" s="9" t="str">
        <f>'All scales all studies'!U33</f>
        <v>X</v>
      </c>
      <c r="G3" s="9" t="str">
        <f>'All scales all studies'!V33</f>
        <v>X</v>
      </c>
    </row>
    <row r="4" spans="1:7">
      <c r="A4" t="str">
        <f>'All scales all studies'!A34</f>
        <v>How often do family/friends let you down when you need them?</v>
      </c>
      <c r="B4" s="9" t="str">
        <f>'All scales all studies'!F34</f>
        <v>X</v>
      </c>
      <c r="C4" s="9">
        <f>'All scales all studies'!R34</f>
        <v>0</v>
      </c>
      <c r="D4" s="9">
        <f>'All scales all studies'!S34</f>
        <v>0</v>
      </c>
      <c r="E4" s="9">
        <f>'All scales all studies'!T34</f>
        <v>0</v>
      </c>
      <c r="F4" s="9" t="str">
        <f>'All scales all studies'!U34</f>
        <v>X</v>
      </c>
      <c r="G4" s="9" t="str">
        <f>'All scales all studies'!V34</f>
        <v>X</v>
      </c>
    </row>
    <row r="5" spans="1:7">
      <c r="A5" t="s">
        <v>143</v>
      </c>
      <c r="B5" s="9" t="str">
        <f>'All scales all studies'!F16</f>
        <v>X</v>
      </c>
      <c r="C5" s="9" t="str">
        <f>'All scales all studies'!R16</f>
        <v>X</v>
      </c>
      <c r="D5" s="9" t="str">
        <f>'All scales all studies'!S16</f>
        <v>X</v>
      </c>
      <c r="E5" s="9">
        <f>'All scales all studies'!T34</f>
        <v>0</v>
      </c>
      <c r="F5" s="9" t="str">
        <f>'All scales all studies'!U16</f>
        <v>X</v>
      </c>
      <c r="G5" s="9" t="str">
        <f>'All scales all studies'!V16</f>
        <v>X</v>
      </c>
    </row>
    <row r="6" spans="1:7">
      <c r="C6" s="10">
        <f>COUNTIF(C2:C5,"X")/COUNTIF($B2:$B5,"X")</f>
        <v>0.5</v>
      </c>
      <c r="D6" s="10">
        <f t="shared" ref="D6:G6" si="0">COUNTIF(D2:D5,"X")/COUNTIF($B2:$B5,"X")</f>
        <v>0.5</v>
      </c>
      <c r="E6" s="10">
        <f t="shared" si="0"/>
        <v>0.25</v>
      </c>
      <c r="F6" s="10">
        <f t="shared" si="0"/>
        <v>0.75</v>
      </c>
      <c r="G6" s="10">
        <f t="shared" si="0"/>
        <v>1</v>
      </c>
    </row>
  </sheetData>
  <conditionalFormatting sqref="C2:G5">
    <cfRule type="cellIs" dxfId="29" priority="1" operator="equal">
      <formula>0</formula>
    </cfRule>
    <cfRule type="cellIs" dxfId="28" priority="2" operator="equal">
      <formula>"X"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E30F-BEAB-3444-B0D0-93CAED1C8030}">
  <dimension ref="A1:G20"/>
  <sheetViews>
    <sheetView zoomScale="133" workbookViewId="0">
      <selection activeCell="D16" sqref="D16"/>
    </sheetView>
  </sheetViews>
  <sheetFormatPr baseColWidth="10" defaultRowHeight="16"/>
  <cols>
    <col min="1" max="1" width="39.1640625" customWidth="1"/>
    <col min="2" max="2" width="10.83203125" hidden="1" customWidth="1"/>
  </cols>
  <sheetData>
    <row r="1" spans="1:7">
      <c r="B1" t="s">
        <v>22</v>
      </c>
      <c r="C1" t="s">
        <v>13</v>
      </c>
      <c r="D1" t="s">
        <v>0</v>
      </c>
      <c r="E1" t="s">
        <v>3</v>
      </c>
      <c r="F1" t="s">
        <v>17</v>
      </c>
      <c r="G1" t="s">
        <v>6</v>
      </c>
    </row>
    <row r="2" spans="1:7" s="5" customFormat="1">
      <c r="A2" s="5" t="s">
        <v>69</v>
      </c>
    </row>
    <row r="3" spans="1:7">
      <c r="A3" t="s">
        <v>74</v>
      </c>
      <c r="B3" t="str">
        <f>'All scales all studies'!G4</f>
        <v>X</v>
      </c>
      <c r="C3" s="9" t="str">
        <f>'All scales all studies'!R4</f>
        <v>X</v>
      </c>
      <c r="D3" s="9" t="str">
        <f>'All scales all studies'!S4</f>
        <v>X</v>
      </c>
      <c r="E3" s="9" t="str">
        <f>'All scales all studies'!T4</f>
        <v>X</v>
      </c>
      <c r="F3" s="9" t="str">
        <f>'All scales all studies'!U4</f>
        <v>X</v>
      </c>
      <c r="G3" s="9">
        <f>'All scales all studies'!V4</f>
        <v>0</v>
      </c>
    </row>
    <row r="4" spans="1:7">
      <c r="A4" t="s">
        <v>75</v>
      </c>
      <c r="B4" t="str">
        <f>'All scales all studies'!G5</f>
        <v>X</v>
      </c>
      <c r="C4" s="9" t="str">
        <f>'All scales all studies'!R5</f>
        <v>X</v>
      </c>
      <c r="D4" s="9" t="str">
        <f>'All scales all studies'!S5</f>
        <v>X</v>
      </c>
      <c r="E4" s="9" t="str">
        <f>'All scales all studies'!T5</f>
        <v>X</v>
      </c>
      <c r="F4" s="9" t="str">
        <f>'All scales all studies'!U5</f>
        <v>X</v>
      </c>
      <c r="G4" s="9">
        <f>'All scales all studies'!V5</f>
        <v>0</v>
      </c>
    </row>
    <row r="5" spans="1:7">
      <c r="A5" t="s">
        <v>149</v>
      </c>
      <c r="B5" t="str">
        <f>'All scales all studies'!G6</f>
        <v>X</v>
      </c>
      <c r="C5" s="9" t="str">
        <f>'All scales all studies'!R6</f>
        <v>X</v>
      </c>
      <c r="D5" s="9" t="str">
        <f>'All scales all studies'!S6</f>
        <v>X</v>
      </c>
      <c r="E5" s="9">
        <f>'All scales all studies'!T6</f>
        <v>0</v>
      </c>
      <c r="F5" s="9">
        <f>'All scales all studies'!U6</f>
        <v>0</v>
      </c>
      <c r="G5" s="9">
        <f>'All scales all studies'!V6</f>
        <v>0</v>
      </c>
    </row>
    <row r="6" spans="1:7">
      <c r="A6" t="s">
        <v>76</v>
      </c>
      <c r="B6" t="str">
        <f>'All scales all studies'!G8</f>
        <v>X</v>
      </c>
      <c r="C6" s="9" t="str">
        <f>'All scales all studies'!R7</f>
        <v>X</v>
      </c>
      <c r="D6" s="9" t="str">
        <f>'All scales all studies'!S7</f>
        <v>X</v>
      </c>
      <c r="E6" s="9" t="str">
        <f>'All scales all studies'!T7</f>
        <v>X</v>
      </c>
      <c r="F6" s="9" t="str">
        <f>'All scales all studies'!U7</f>
        <v>X</v>
      </c>
      <c r="G6" s="9">
        <f>'All scales all studies'!V7</f>
        <v>0</v>
      </c>
    </row>
    <row r="7" spans="1:7">
      <c r="A7" t="s">
        <v>148</v>
      </c>
      <c r="B7" t="str">
        <f>'All scales all studies'!G9</f>
        <v>X</v>
      </c>
      <c r="C7" s="9" t="str">
        <f>'All scales all studies'!R8</f>
        <v>X</v>
      </c>
      <c r="D7" s="9" t="str">
        <f>'All scales all studies'!S8</f>
        <v>X</v>
      </c>
      <c r="E7" s="9" t="str">
        <f>'All scales all studies'!T8</f>
        <v>X</v>
      </c>
      <c r="F7" s="9" t="str">
        <f>'All scales all studies'!U8</f>
        <v>X</v>
      </c>
      <c r="G7" s="9">
        <f>'All scales all studies'!V8</f>
        <v>0</v>
      </c>
    </row>
    <row r="8" spans="1:7">
      <c r="A8" t="s">
        <v>134</v>
      </c>
      <c r="B8" t="str">
        <f>'All scales all studies'!G18</f>
        <v>X</v>
      </c>
      <c r="C8" s="9" t="str">
        <f>'All scales all studies'!R9</f>
        <v>X</v>
      </c>
      <c r="D8" s="9" t="str">
        <f>'All scales all studies'!S9</f>
        <v>X</v>
      </c>
      <c r="E8" s="9">
        <f>'All scales all studies'!T9</f>
        <v>0</v>
      </c>
      <c r="F8" s="9" t="str">
        <f>'All scales all studies'!U9</f>
        <v>X</v>
      </c>
      <c r="G8" s="9">
        <f>'All scales all studies'!V9</f>
        <v>0</v>
      </c>
    </row>
    <row r="9" spans="1:7">
      <c r="A9" t="s">
        <v>29</v>
      </c>
      <c r="B9" t="str">
        <f>'All scales all studies'!G39</f>
        <v>X</v>
      </c>
      <c r="C9" s="9" t="str">
        <f>'All scales all studies'!R10</f>
        <v>X</v>
      </c>
      <c r="D9" s="9" t="str">
        <f>'All scales all studies'!S10</f>
        <v>X</v>
      </c>
      <c r="E9" s="9" t="str">
        <f>'All scales all studies'!T10</f>
        <v>X</v>
      </c>
      <c r="F9" s="9" t="str">
        <f>'All scales all studies'!U10</f>
        <v>X</v>
      </c>
      <c r="G9" s="9" t="str">
        <f>'All scales all studies'!V10</f>
        <v>X</v>
      </c>
    </row>
    <row r="10" spans="1:7">
      <c r="A10" t="s">
        <v>78</v>
      </c>
      <c r="B10" t="str">
        <f>'All scales all studies'!G30</f>
        <v>X</v>
      </c>
      <c r="C10" s="9" t="str">
        <f>'All scales all studies'!R11</f>
        <v>X</v>
      </c>
      <c r="D10" s="9" t="str">
        <f>'All scales all studies'!S11</f>
        <v>X</v>
      </c>
      <c r="E10" s="9">
        <f>'All scales all studies'!T11</f>
        <v>0</v>
      </c>
      <c r="F10" s="9" t="str">
        <f>'All scales all studies'!U11</f>
        <v>X</v>
      </c>
      <c r="G10" s="9">
        <f>'All scales all studies'!V11</f>
        <v>0</v>
      </c>
    </row>
    <row r="11" spans="1:7">
      <c r="A11" t="s">
        <v>87</v>
      </c>
      <c r="B11" t="str">
        <f>'All scales all studies'!G40</f>
        <v>X</v>
      </c>
      <c r="C11" s="9">
        <f>'All scales all studies'!R12</f>
        <v>0</v>
      </c>
      <c r="D11" s="9">
        <f>'All scales all studies'!S12</f>
        <v>0</v>
      </c>
      <c r="E11" s="9" t="str">
        <f>'All scales all studies'!T12</f>
        <v>X</v>
      </c>
      <c r="F11" s="9" t="str">
        <f>'All scales all studies'!U12</f>
        <v>X</v>
      </c>
      <c r="G11" s="9" t="str">
        <f>'All scales all studies'!V12</f>
        <v>X</v>
      </c>
    </row>
    <row r="12" spans="1:7">
      <c r="A12" t="s">
        <v>88</v>
      </c>
      <c r="B12" t="str">
        <f>'All scales all studies'!G31</f>
        <v>X</v>
      </c>
      <c r="C12" s="9" t="str">
        <f>'All scales all studies'!R13</f>
        <v>X</v>
      </c>
      <c r="D12" s="9">
        <f>'All scales all studies'!S13</f>
        <v>0</v>
      </c>
      <c r="E12" s="9">
        <f>'All scales all studies'!T13</f>
        <v>0</v>
      </c>
      <c r="F12" s="9" t="str">
        <f>'All scales all studies'!U13</f>
        <v>X</v>
      </c>
      <c r="G12" s="9">
        <f>'All scales all studies'!V13</f>
        <v>0</v>
      </c>
    </row>
    <row r="13" spans="1:7">
      <c r="C13" s="3">
        <f>COUNTIF(C2:C12,"X")/COUNTIF($B2:$B12,"X")</f>
        <v>0.9</v>
      </c>
      <c r="D13" s="3">
        <f t="shared" ref="D13:G13" si="0">COUNTIF(D2:D12,"X")/COUNTIF($B2:$B12,"X")</f>
        <v>0.8</v>
      </c>
      <c r="E13" s="3">
        <f t="shared" si="0"/>
        <v>0.6</v>
      </c>
      <c r="F13" s="3">
        <f t="shared" si="0"/>
        <v>0.9</v>
      </c>
      <c r="G13" s="3">
        <f t="shared" si="0"/>
        <v>0.2</v>
      </c>
    </row>
    <row r="14" spans="1:7" s="5" customFormat="1">
      <c r="A14" s="5" t="s">
        <v>68</v>
      </c>
    </row>
    <row r="15" spans="1:7">
      <c r="A15" t="s">
        <v>70</v>
      </c>
      <c r="B15" t="s">
        <v>23</v>
      </c>
      <c r="C15" s="9" t="s">
        <v>23</v>
      </c>
      <c r="D15" s="9" t="str">
        <f>'All scales all studies'!S11</f>
        <v>X</v>
      </c>
      <c r="E15" s="9">
        <f>'All scales all studies'!T11</f>
        <v>0</v>
      </c>
      <c r="F15" s="9" t="str">
        <f>'All scales all studies'!U11</f>
        <v>X</v>
      </c>
      <c r="G15" s="9">
        <f>'All scales all studies'!V11</f>
        <v>0</v>
      </c>
    </row>
    <row r="16" spans="1:7">
      <c r="A16" t="s">
        <v>71</v>
      </c>
      <c r="B16" t="str">
        <f>'All scales all studies'!G14</f>
        <v>X</v>
      </c>
      <c r="C16" s="9" t="s">
        <v>23</v>
      </c>
      <c r="D16" s="9" t="str">
        <f>'All scales all studies'!S3</f>
        <v>X</v>
      </c>
      <c r="E16" s="9" t="str">
        <f>'All scales all studies'!T3</f>
        <v>X</v>
      </c>
      <c r="F16" s="9" t="str">
        <f>'All scales all studies'!U3</f>
        <v>X</v>
      </c>
      <c r="G16" s="9">
        <f>'All scales all studies'!V3</f>
        <v>0</v>
      </c>
    </row>
    <row r="17" spans="1:7">
      <c r="A17" t="s">
        <v>72</v>
      </c>
      <c r="B17" t="str">
        <f>'All scales all studies'!G26</f>
        <v>X</v>
      </c>
      <c r="C17" s="9" t="s">
        <v>23</v>
      </c>
      <c r="D17" s="9" t="str">
        <f>'All scales all studies'!S26</f>
        <v>X</v>
      </c>
      <c r="E17" s="9">
        <f>'All scales all studies'!T26</f>
        <v>0</v>
      </c>
      <c r="F17" s="9" t="str">
        <f>'All scales all studies'!U26</f>
        <v>X</v>
      </c>
      <c r="G17" s="9" t="str">
        <f>'All scales all studies'!V26</f>
        <v>X</v>
      </c>
    </row>
    <row r="18" spans="1:7">
      <c r="A18" t="s">
        <v>79</v>
      </c>
      <c r="B18" t="str">
        <f>'All scales all studies'!G16</f>
        <v>X</v>
      </c>
      <c r="C18" s="9" t="s">
        <v>23</v>
      </c>
      <c r="D18" s="9" t="str">
        <f>'All scales all studies'!S16</f>
        <v>X</v>
      </c>
      <c r="E18" s="9" t="str">
        <f>'All scales all studies'!T16</f>
        <v>X</v>
      </c>
      <c r="F18" s="9" t="str">
        <f>'All scales all studies'!U16</f>
        <v>X</v>
      </c>
      <c r="G18" s="9" t="str">
        <f>'All scales all studies'!V16</f>
        <v>X</v>
      </c>
    </row>
    <row r="19" spans="1:7">
      <c r="A19" t="s">
        <v>73</v>
      </c>
      <c r="B19" t="str">
        <f>'All scales all studies'!G14</f>
        <v>X</v>
      </c>
      <c r="C19" s="9" t="s">
        <v>23</v>
      </c>
      <c r="D19" s="9" t="str">
        <f>'All scales all studies'!S14</f>
        <v>X</v>
      </c>
      <c r="E19" s="9" t="str">
        <f>'All scales all studies'!T14</f>
        <v>X</v>
      </c>
      <c r="F19" s="9" t="str">
        <f>'All scales all studies'!U14</f>
        <v>X</v>
      </c>
      <c r="G19" s="9" t="str">
        <f>'All scales all studies'!V14</f>
        <v>X</v>
      </c>
    </row>
    <row r="20" spans="1:7">
      <c r="C20" s="3">
        <f>COUNTIF(C14:C19,"X")/COUNTIF($B14:$B19,"X")</f>
        <v>1</v>
      </c>
      <c r="D20" s="3">
        <f t="shared" ref="D20:G20" si="1">COUNTIF(D14:D19,"X")/COUNTIF($B14:$B19,"X")</f>
        <v>1</v>
      </c>
      <c r="E20" s="3">
        <f t="shared" si="1"/>
        <v>0.6</v>
      </c>
      <c r="F20" s="3">
        <f t="shared" si="1"/>
        <v>1</v>
      </c>
      <c r="G20" s="3">
        <f t="shared" si="1"/>
        <v>0.6</v>
      </c>
    </row>
  </sheetData>
  <conditionalFormatting sqref="C3:G12">
    <cfRule type="cellIs" dxfId="27" priority="5" operator="equal">
      <formula>0</formula>
    </cfRule>
    <cfRule type="cellIs" dxfId="26" priority="6" operator="equal">
      <formula>"X"</formula>
    </cfRule>
  </conditionalFormatting>
  <conditionalFormatting sqref="C15:G19">
    <cfRule type="cellIs" dxfId="25" priority="1" operator="equal">
      <formula>0</formula>
    </cfRule>
    <cfRule type="cellIs" dxfId="24" priority="2" operator="equal">
      <formula>"X"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B19C-FC15-C34F-83B7-12DCAA877E47}">
  <dimension ref="A1:G19"/>
  <sheetViews>
    <sheetView workbookViewId="0">
      <selection activeCell="F10" sqref="F10"/>
    </sheetView>
  </sheetViews>
  <sheetFormatPr baseColWidth="10" defaultRowHeight="16"/>
  <cols>
    <col min="1" max="1" width="42.83203125" customWidth="1"/>
    <col min="2" max="2" width="0" style="9" hidden="1" customWidth="1"/>
    <col min="3" max="7" width="10.83203125" style="9"/>
  </cols>
  <sheetData>
    <row r="1" spans="1:7">
      <c r="B1" s="9" t="s">
        <v>14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">
        <v>75</v>
      </c>
      <c r="B2" s="9" t="s">
        <v>23</v>
      </c>
      <c r="C2" s="9" t="str">
        <f>'All scales all studies'!R5</f>
        <v>X</v>
      </c>
      <c r="D2" s="9" t="str">
        <f>'All scales all studies'!S5</f>
        <v>X</v>
      </c>
      <c r="E2" s="9" t="str">
        <f>'All scales all studies'!T5</f>
        <v>X</v>
      </c>
      <c r="F2" s="9" t="str">
        <f>'All scales all studies'!U5</f>
        <v>X</v>
      </c>
      <c r="G2" s="9">
        <f>'All scales all studies'!V5</f>
        <v>0</v>
      </c>
    </row>
    <row r="3" spans="1:7">
      <c r="A3" t="s">
        <v>76</v>
      </c>
      <c r="B3" s="9" t="s">
        <v>23</v>
      </c>
      <c r="C3" s="9" t="str">
        <f>'All scales all studies'!R8</f>
        <v>X</v>
      </c>
      <c r="D3" s="9" t="str">
        <f>'All scales all studies'!S8</f>
        <v>X</v>
      </c>
      <c r="E3" s="9" t="str">
        <f>'All scales all studies'!T8</f>
        <v>X</v>
      </c>
      <c r="F3" s="9" t="str">
        <f>'All scales all studies'!U8</f>
        <v>X</v>
      </c>
      <c r="G3" s="9">
        <f>'All scales all studies'!V8</f>
        <v>0</v>
      </c>
    </row>
    <row r="4" spans="1:7">
      <c r="A4" t="s">
        <v>145</v>
      </c>
      <c r="B4" s="9" t="s">
        <v>23</v>
      </c>
      <c r="C4" s="9" t="str">
        <f>'All scales all studies'!R14</f>
        <v>X</v>
      </c>
      <c r="D4" s="9" t="str">
        <f>'All scales all studies'!S14</f>
        <v>X</v>
      </c>
      <c r="E4" s="9" t="str">
        <f>'All scales all studies'!T14</f>
        <v>X</v>
      </c>
      <c r="F4" s="9" t="str">
        <f>'All scales all studies'!U14</f>
        <v>X</v>
      </c>
      <c r="G4" s="9" t="str">
        <f>'All scales all studies'!V14</f>
        <v>X</v>
      </c>
    </row>
    <row r="5" spans="1:7">
      <c r="A5" t="s">
        <v>142</v>
      </c>
      <c r="B5" s="9" t="s">
        <v>23</v>
      </c>
      <c r="C5" s="9" t="str">
        <f>'All scales all studies'!R17</f>
        <v>X</v>
      </c>
      <c r="D5" s="9" t="str">
        <f>'All scales all studies'!S17</f>
        <v>X</v>
      </c>
      <c r="E5" s="9" t="str">
        <f>'All scales all studies'!T17</f>
        <v>X</v>
      </c>
      <c r="F5" s="9">
        <f>'All scales all studies'!U17</f>
        <v>0</v>
      </c>
      <c r="G5" s="9" t="str">
        <f>'All scales all studies'!V17</f>
        <v>X</v>
      </c>
    </row>
    <row r="6" spans="1:7">
      <c r="A6" t="s">
        <v>72</v>
      </c>
      <c r="B6" s="9" t="s">
        <v>23</v>
      </c>
      <c r="C6" s="9" t="str">
        <f>'All scales all studies'!R26</f>
        <v>X</v>
      </c>
      <c r="D6" s="9" t="str">
        <f>'All scales all studies'!S26</f>
        <v>X</v>
      </c>
      <c r="E6" s="9">
        <f>'All scales all studies'!T26</f>
        <v>0</v>
      </c>
      <c r="F6" s="9" t="str">
        <f>'All scales all studies'!U26</f>
        <v>X</v>
      </c>
      <c r="G6" s="9" t="str">
        <f>'All scales all studies'!V26</f>
        <v>X</v>
      </c>
    </row>
    <row r="7" spans="1:7">
      <c r="A7" t="s">
        <v>84</v>
      </c>
      <c r="B7" s="9" t="s">
        <v>23</v>
      </c>
      <c r="C7" s="9" t="str">
        <f>'All scales all studies'!R15</f>
        <v>X</v>
      </c>
      <c r="D7" s="9" t="str">
        <f>'All scales all studies'!S15</f>
        <v>X</v>
      </c>
      <c r="E7" s="9">
        <f>'All scales all studies'!T15</f>
        <v>0</v>
      </c>
      <c r="F7" s="9" t="str">
        <f>'All scales all studies'!U15</f>
        <v>X</v>
      </c>
      <c r="G7" s="9">
        <f>'All scales all studies'!V15</f>
        <v>0</v>
      </c>
    </row>
    <row r="8" spans="1:7">
      <c r="A8" t="s">
        <v>100</v>
      </c>
      <c r="B8" s="9" t="s">
        <v>23</v>
      </c>
      <c r="C8" s="9" t="str">
        <f>'All scales all studies'!R13</f>
        <v>X</v>
      </c>
      <c r="D8" s="9">
        <f>'All scales all studies'!S13</f>
        <v>0</v>
      </c>
      <c r="E8" s="9">
        <f>'All scales all studies'!T13</f>
        <v>0</v>
      </c>
      <c r="F8" s="9" t="str">
        <f>'All scales all studies'!U13</f>
        <v>X</v>
      </c>
      <c r="G8" s="9">
        <f>'All scales all studies'!V13</f>
        <v>0</v>
      </c>
    </row>
    <row r="9" spans="1:7">
      <c r="A9" t="s">
        <v>85</v>
      </c>
      <c r="B9" s="9" t="s">
        <v>23</v>
      </c>
      <c r="C9" s="9" t="str">
        <f>'All scales all studies'!R27</f>
        <v>X</v>
      </c>
      <c r="D9" s="9" t="str">
        <f>'All scales all studies'!S27</f>
        <v>X</v>
      </c>
      <c r="E9" s="9">
        <f>'All scales all studies'!T27</f>
        <v>0</v>
      </c>
      <c r="F9" s="9" t="str">
        <f>'All scales all studies'!U27</f>
        <v>X</v>
      </c>
      <c r="G9" s="9">
        <f>'All scales all studies'!V27</f>
        <v>0</v>
      </c>
    </row>
    <row r="10" spans="1:7">
      <c r="A10" t="s">
        <v>86</v>
      </c>
      <c r="B10" s="9" t="s">
        <v>23</v>
      </c>
      <c r="C10" s="9" t="str">
        <f>'All scales all studies'!R28</f>
        <v>X</v>
      </c>
      <c r="D10" s="9" t="str">
        <f>'All scales all studies'!S28</f>
        <v>X</v>
      </c>
      <c r="E10" s="9">
        <f>'All scales all studies'!T28</f>
        <v>0</v>
      </c>
      <c r="F10" s="9" t="str">
        <f>'All scales all studies'!U28</f>
        <v>X</v>
      </c>
      <c r="G10" s="9">
        <f>'All scales all studies'!V28</f>
        <v>0</v>
      </c>
    </row>
    <row r="11" spans="1:7">
      <c r="A11" t="s">
        <v>115</v>
      </c>
      <c r="B11" s="9" t="s">
        <v>23</v>
      </c>
      <c r="C11" s="9" t="str">
        <f>'All scales all studies'!R11</f>
        <v>X</v>
      </c>
      <c r="D11" s="9" t="str">
        <f>'All scales all studies'!S11</f>
        <v>X</v>
      </c>
      <c r="E11" s="9">
        <f>'All scales all studies'!T11</f>
        <v>0</v>
      </c>
      <c r="F11" s="9" t="str">
        <f>'All scales all studies'!U11</f>
        <v>X</v>
      </c>
      <c r="G11" s="9">
        <f>'All scales all studies'!V11</f>
        <v>0</v>
      </c>
    </row>
    <row r="12" spans="1:7">
      <c r="A12" t="s">
        <v>116</v>
      </c>
      <c r="B12" s="9" t="s">
        <v>23</v>
      </c>
      <c r="C12" s="9" t="str">
        <f>'All scales all studies'!R24</f>
        <v>X</v>
      </c>
      <c r="D12" s="9">
        <f>'All scales all studies'!S24</f>
        <v>0</v>
      </c>
      <c r="E12" s="9">
        <f>'All scales all studies'!T24</f>
        <v>0</v>
      </c>
      <c r="F12" s="9" t="str">
        <f>'All scales all studies'!U24</f>
        <v>X</v>
      </c>
      <c r="G12" s="9">
        <f>'All scales all studies'!V24</f>
        <v>0</v>
      </c>
    </row>
    <row r="13" spans="1:7">
      <c r="A13" t="s">
        <v>117</v>
      </c>
      <c r="B13" s="9" t="s">
        <v>23</v>
      </c>
      <c r="C13" s="9" t="str">
        <f>'All scales all studies'!R25</f>
        <v>X</v>
      </c>
      <c r="D13" s="9">
        <f>'All scales all studies'!S25</f>
        <v>0</v>
      </c>
      <c r="E13" s="9">
        <f>'All scales all studies'!T25</f>
        <v>0</v>
      </c>
      <c r="F13" s="9" t="str">
        <f>'All scales all studies'!U25</f>
        <v>X</v>
      </c>
      <c r="G13" s="9">
        <f>'All scales all studies'!V25</f>
        <v>0</v>
      </c>
    </row>
    <row r="14" spans="1:7">
      <c r="A14" t="s">
        <v>24</v>
      </c>
      <c r="B14" s="9" t="s">
        <v>23</v>
      </c>
      <c r="C14" s="9" t="str">
        <f>'All scales all studies'!R20</f>
        <v>X</v>
      </c>
      <c r="D14" s="9">
        <f>'All scales all studies'!S20</f>
        <v>0</v>
      </c>
      <c r="E14" s="9">
        <f>'All scales all studies'!T20</f>
        <v>0</v>
      </c>
      <c r="F14" s="9" t="str">
        <f>'All scales all studies'!U20</f>
        <v>X</v>
      </c>
      <c r="G14" s="9">
        <f>'All scales all studies'!V20</f>
        <v>0</v>
      </c>
    </row>
    <row r="15" spans="1:7">
      <c r="A15" t="s">
        <v>114</v>
      </c>
      <c r="B15" s="9" t="s">
        <v>23</v>
      </c>
      <c r="C15" s="9" t="s">
        <v>23</v>
      </c>
      <c r="D15" s="9" t="s">
        <v>23</v>
      </c>
      <c r="E15" s="9" t="s">
        <v>23</v>
      </c>
      <c r="F15" s="9" t="s">
        <v>23</v>
      </c>
      <c r="G15" s="9" t="s">
        <v>23</v>
      </c>
    </row>
    <row r="16" spans="1:7">
      <c r="A16" t="s">
        <v>90</v>
      </c>
      <c r="B16" s="9" t="s">
        <v>23</v>
      </c>
      <c r="C16" s="9" t="str">
        <f>'All scales all studies'!R21</f>
        <v>X</v>
      </c>
      <c r="D16" s="9">
        <f>'All scales all studies'!S21</f>
        <v>0</v>
      </c>
      <c r="E16" s="9">
        <f>'All scales all studies'!T21</f>
        <v>0</v>
      </c>
      <c r="F16" s="9" t="str">
        <f>'All scales all studies'!U21</f>
        <v>X</v>
      </c>
      <c r="G16" s="9">
        <f>'All scales all studies'!V21</f>
        <v>0</v>
      </c>
    </row>
    <row r="17" spans="1:7">
      <c r="A17" t="s">
        <v>89</v>
      </c>
      <c r="B17" s="9" t="s">
        <v>23</v>
      </c>
      <c r="C17" s="9" t="str">
        <f>'All scales all studies'!R3</f>
        <v>X</v>
      </c>
      <c r="D17" s="9" t="str">
        <f>'All scales all studies'!S3</f>
        <v>X</v>
      </c>
      <c r="E17" s="9" t="str">
        <f>'All scales all studies'!T3</f>
        <v>X</v>
      </c>
      <c r="F17" s="9" t="str">
        <f>'All scales all studies'!U3</f>
        <v>X</v>
      </c>
      <c r="G17" s="9">
        <f>'All scales all studies'!V3</f>
        <v>0</v>
      </c>
    </row>
    <row r="18" spans="1:7">
      <c r="A18" t="s">
        <v>118</v>
      </c>
      <c r="B18" s="9" t="s">
        <v>23</v>
      </c>
      <c r="C18" s="9" t="str">
        <f>'All scales all studies'!R29</f>
        <v>X</v>
      </c>
      <c r="D18" s="9">
        <f>'All scales all studies'!S29</f>
        <v>0</v>
      </c>
      <c r="E18" s="9">
        <f>'All scales all studies'!T29</f>
        <v>0</v>
      </c>
      <c r="F18" s="9" t="str">
        <f>'All scales all studies'!U29</f>
        <v>X</v>
      </c>
      <c r="G18" s="9">
        <f>'All scales all studies'!V29</f>
        <v>0</v>
      </c>
    </row>
    <row r="19" spans="1:7">
      <c r="C19" s="10">
        <f>COUNTIF(C2:C18,"X")/COUNTIF($B2:$B18,"X")</f>
        <v>1</v>
      </c>
      <c r="D19" s="10">
        <f t="shared" ref="D19:G19" si="0">COUNTIF(D2:D18,"X")/COUNTIF($B2:$B18,"X")</f>
        <v>0.6470588235294118</v>
      </c>
      <c r="E19" s="10">
        <f t="shared" si="0"/>
        <v>0.35294117647058826</v>
      </c>
      <c r="F19" s="10">
        <f t="shared" si="0"/>
        <v>0.94117647058823528</v>
      </c>
      <c r="G19" s="10">
        <f t="shared" si="0"/>
        <v>0.23529411764705882</v>
      </c>
    </row>
  </sheetData>
  <conditionalFormatting sqref="C2:G18">
    <cfRule type="cellIs" dxfId="23" priority="1" operator="equal">
      <formula>0</formula>
    </cfRule>
    <cfRule type="cellIs" dxfId="22" priority="2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4C3D-AEBD-164E-AE0D-4A961E559F5F}">
  <dimension ref="A1:G7"/>
  <sheetViews>
    <sheetView workbookViewId="0">
      <selection activeCell="J34" sqref="J34"/>
    </sheetView>
  </sheetViews>
  <sheetFormatPr baseColWidth="10" defaultRowHeight="16"/>
  <cols>
    <col min="1" max="1" width="35" customWidth="1"/>
    <col min="2" max="2" width="14.33203125" hidden="1" customWidth="1"/>
  </cols>
  <sheetData>
    <row r="1" spans="1:7">
      <c r="B1" t="s">
        <v>43</v>
      </c>
      <c r="C1" t="s">
        <v>13</v>
      </c>
      <c r="D1" t="s">
        <v>0</v>
      </c>
      <c r="E1" t="s">
        <v>3</v>
      </c>
      <c r="F1" t="s">
        <v>17</v>
      </c>
      <c r="G1" t="s">
        <v>6</v>
      </c>
    </row>
    <row r="2" spans="1:7">
      <c r="A2" t="s">
        <v>119</v>
      </c>
      <c r="B2" t="s">
        <v>23</v>
      </c>
      <c r="C2" s="9">
        <f>'All scales all studies'!R35</f>
        <v>0</v>
      </c>
      <c r="D2" s="9">
        <f>'All scales all studies'!S35</f>
        <v>0</v>
      </c>
      <c r="E2" s="9" t="str">
        <f>'All scales all studies'!T35</f>
        <v>X</v>
      </c>
      <c r="F2" s="9" t="str">
        <f>'All scales all studies'!U35</f>
        <v>X</v>
      </c>
      <c r="G2" s="9">
        <f>'All scales all studies'!V35</f>
        <v>0</v>
      </c>
    </row>
    <row r="3" spans="1:7">
      <c r="A3" t="s">
        <v>89</v>
      </c>
      <c r="B3" t="s">
        <v>23</v>
      </c>
      <c r="C3" s="9" t="str">
        <f>'All scales all studies'!R3</f>
        <v>X</v>
      </c>
      <c r="D3" s="9" t="str">
        <f>'All scales all studies'!S3</f>
        <v>X</v>
      </c>
      <c r="E3" s="9" t="str">
        <f>'All scales all studies'!T3</f>
        <v>X</v>
      </c>
      <c r="F3" s="9" t="str">
        <f>'All scales all studies'!U3</f>
        <v>X</v>
      </c>
      <c r="G3" s="9">
        <f>'All scales all studies'!V3</f>
        <v>0</v>
      </c>
    </row>
    <row r="4" spans="1:7">
      <c r="A4" t="s">
        <v>93</v>
      </c>
      <c r="B4" t="s">
        <v>23</v>
      </c>
      <c r="C4" s="9" t="str">
        <f>'All scales all studies'!R10</f>
        <v>X</v>
      </c>
      <c r="D4" s="9" t="str">
        <f>'All scales all studies'!S10</f>
        <v>X</v>
      </c>
      <c r="E4" s="9" t="str">
        <f>'All scales all studies'!T10</f>
        <v>X</v>
      </c>
      <c r="F4" s="9" t="str">
        <f>'All scales all studies'!U10</f>
        <v>X</v>
      </c>
      <c r="G4" s="9" t="str">
        <f>'All scales all studies'!V10</f>
        <v>X</v>
      </c>
    </row>
    <row r="5" spans="1:7">
      <c r="A5" s="2" t="s">
        <v>120</v>
      </c>
      <c r="B5" t="s">
        <v>23</v>
      </c>
      <c r="C5" s="9" t="str">
        <f>'All scales all studies'!R41</f>
        <v>X</v>
      </c>
      <c r="D5" s="9" t="str">
        <f>'All scales all studies'!S41</f>
        <v>X</v>
      </c>
      <c r="E5" s="9">
        <f>'All scales all studies'!T41</f>
        <v>0</v>
      </c>
      <c r="F5" s="9" t="str">
        <f>'All scales all studies'!U41</f>
        <v>X</v>
      </c>
      <c r="G5" s="9" t="str">
        <f>'All scales all studies'!V41</f>
        <v>X</v>
      </c>
    </row>
    <row r="6" spans="1:7">
      <c r="A6" s="2" t="s">
        <v>135</v>
      </c>
      <c r="B6" t="s">
        <v>23</v>
      </c>
      <c r="C6" s="9" t="str">
        <f>'All scales all studies'!R32</f>
        <v>X</v>
      </c>
      <c r="D6" s="9" t="str">
        <f>'All scales all studies'!S32</f>
        <v>X</v>
      </c>
      <c r="E6" s="9">
        <f>'All scales all studies'!T32</f>
        <v>0</v>
      </c>
      <c r="F6" s="9" t="str">
        <f>'All scales all studies'!U32</f>
        <v>X</v>
      </c>
      <c r="G6" s="9">
        <f>'All scales all studies'!V32</f>
        <v>0</v>
      </c>
    </row>
    <row r="7" spans="1:7">
      <c r="C7" s="3">
        <f>COUNTIF(C2:C6,"X")/5</f>
        <v>0.8</v>
      </c>
      <c r="D7" s="3">
        <f t="shared" ref="D7:G7" si="0">COUNTIF(D2:D6,"X")/5</f>
        <v>0.8</v>
      </c>
      <c r="E7" s="3">
        <f t="shared" si="0"/>
        <v>0.6</v>
      </c>
      <c r="F7" s="3">
        <f t="shared" si="0"/>
        <v>1</v>
      </c>
      <c r="G7" s="3">
        <f t="shared" si="0"/>
        <v>0.4</v>
      </c>
    </row>
  </sheetData>
  <conditionalFormatting sqref="C2:G6">
    <cfRule type="cellIs" dxfId="21" priority="1" operator="equal">
      <formula>0</formula>
    </cfRule>
    <cfRule type="cellIs" dxfId="20" priority="2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FFE6-2645-1F47-AA5E-1E4DB0B2EB0B}">
  <dimension ref="A1:G7"/>
  <sheetViews>
    <sheetView workbookViewId="0">
      <selection activeCell="U46" sqref="U46"/>
    </sheetView>
  </sheetViews>
  <sheetFormatPr baseColWidth="10" defaultRowHeight="16"/>
  <cols>
    <col min="1" max="1" width="35" customWidth="1"/>
    <col min="2" max="2" width="0" hidden="1" customWidth="1"/>
  </cols>
  <sheetData>
    <row r="1" spans="1:7">
      <c r="B1" t="s">
        <v>8</v>
      </c>
      <c r="C1" t="s">
        <v>13</v>
      </c>
      <c r="D1" t="s">
        <v>0</v>
      </c>
      <c r="E1" t="s">
        <v>3</v>
      </c>
      <c r="F1" t="s">
        <v>17</v>
      </c>
      <c r="G1" t="s">
        <v>6</v>
      </c>
    </row>
    <row r="2" spans="1:7">
      <c r="A2" t="s">
        <v>73</v>
      </c>
      <c r="B2" t="s">
        <v>23</v>
      </c>
      <c r="C2" s="9" t="str">
        <f>'All scales all studies'!R14</f>
        <v>X</v>
      </c>
      <c r="D2" s="9" t="str">
        <f>'All scales all studies'!S14</f>
        <v>X</v>
      </c>
      <c r="E2" s="9" t="str">
        <f>'All scales all studies'!T14</f>
        <v>X</v>
      </c>
      <c r="F2" s="9" t="str">
        <f>'All scales all studies'!U14</f>
        <v>X</v>
      </c>
      <c r="G2" s="9" t="str">
        <f>'All scales all studies'!V14</f>
        <v>X</v>
      </c>
    </row>
    <row r="3" spans="1:7">
      <c r="A3" t="s">
        <v>133</v>
      </c>
      <c r="B3" t="s">
        <v>23</v>
      </c>
      <c r="C3" s="9">
        <f>'All scales all studies'!R12</f>
        <v>0</v>
      </c>
      <c r="D3" s="9">
        <f>'All scales all studies'!S12</f>
        <v>0</v>
      </c>
      <c r="E3" s="9" t="str">
        <f>'All scales all studies'!T12</f>
        <v>X</v>
      </c>
      <c r="F3" s="9" t="str">
        <f>'All scales all studies'!U12</f>
        <v>X</v>
      </c>
      <c r="G3" s="9" t="str">
        <f>'All scales all studies'!V12</f>
        <v>X</v>
      </c>
    </row>
    <row r="4" spans="1:7">
      <c r="A4" t="s">
        <v>134</v>
      </c>
      <c r="B4" t="s">
        <v>23</v>
      </c>
      <c r="C4" s="9">
        <f>'All scales all studies'!R18</f>
        <v>0</v>
      </c>
      <c r="D4" s="9" t="str">
        <f>'All scales all studies'!S18</f>
        <v>X</v>
      </c>
      <c r="E4" s="9" t="str">
        <f>'All scales all studies'!T18</f>
        <v>X</v>
      </c>
      <c r="F4" s="9">
        <f>'All scales all studies'!U18</f>
        <v>0</v>
      </c>
      <c r="G4" s="9" t="str">
        <f>'All scales all studies'!V18</f>
        <v>X</v>
      </c>
    </row>
    <row r="5" spans="1:7">
      <c r="A5" t="s">
        <v>142</v>
      </c>
      <c r="B5" t="s">
        <v>23</v>
      </c>
      <c r="C5" s="9" t="str">
        <f>'All scales all studies'!R17</f>
        <v>X</v>
      </c>
      <c r="D5" s="9" t="str">
        <f>'All scales all studies'!S17</f>
        <v>X</v>
      </c>
      <c r="E5" s="9" t="str">
        <f>'All scales all studies'!T17</f>
        <v>X</v>
      </c>
      <c r="F5" s="9">
        <f>'All scales all studies'!U17</f>
        <v>0</v>
      </c>
      <c r="G5" s="9" t="str">
        <f>'All scales all studies'!V17</f>
        <v>X</v>
      </c>
    </row>
    <row r="6" spans="1:7">
      <c r="A6" t="s">
        <v>72</v>
      </c>
      <c r="B6" t="s">
        <v>23</v>
      </c>
      <c r="C6" s="9" t="str">
        <f>'All scales all studies'!R26</f>
        <v>X</v>
      </c>
      <c r="D6" s="9" t="str">
        <f>'All scales all studies'!S26</f>
        <v>X</v>
      </c>
      <c r="E6" s="9">
        <f>'All scales all studies'!T26</f>
        <v>0</v>
      </c>
      <c r="F6" s="9" t="str">
        <f>'All scales all studies'!U26</f>
        <v>X</v>
      </c>
      <c r="G6" s="9" t="str">
        <f>'All scales all studies'!V26</f>
        <v>X</v>
      </c>
    </row>
    <row r="7" spans="1:7">
      <c r="C7" s="3">
        <f>COUNTIF(C2:C6,"X")/5</f>
        <v>0.6</v>
      </c>
      <c r="D7" s="3">
        <f t="shared" ref="D7:G7" si="0">COUNTIF(D2:D6,"X")/5</f>
        <v>0.8</v>
      </c>
      <c r="E7" s="3">
        <f t="shared" si="0"/>
        <v>0.8</v>
      </c>
      <c r="F7" s="3">
        <f t="shared" si="0"/>
        <v>0.6</v>
      </c>
      <c r="G7" s="3">
        <f t="shared" si="0"/>
        <v>1</v>
      </c>
    </row>
  </sheetData>
  <conditionalFormatting sqref="C2:G6">
    <cfRule type="cellIs" dxfId="19" priority="1" operator="equal">
      <formula>0</formula>
    </cfRule>
    <cfRule type="cellIs" dxfId="18" priority="2" operator="equal">
      <formula>"X"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7084-18C2-3C4E-B9C0-94C46C6C18DA}">
  <dimension ref="A1:G13"/>
  <sheetViews>
    <sheetView workbookViewId="0">
      <selection activeCell="H15" sqref="H15"/>
    </sheetView>
  </sheetViews>
  <sheetFormatPr baseColWidth="10" defaultRowHeight="16"/>
  <cols>
    <col min="1" max="1" width="36.1640625" customWidth="1"/>
    <col min="2" max="2" width="9.1640625" hidden="1" customWidth="1"/>
  </cols>
  <sheetData>
    <row r="1" spans="1:7">
      <c r="B1" s="9" t="s">
        <v>67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">
        <v>74</v>
      </c>
      <c r="B2" s="9" t="s">
        <v>23</v>
      </c>
      <c r="C2" s="9" t="str">
        <f>'All scales all studies'!R4</f>
        <v>X</v>
      </c>
      <c r="D2" s="9" t="str">
        <f>'All scales all studies'!S4</f>
        <v>X</v>
      </c>
      <c r="E2" s="9" t="str">
        <f>'All scales all studies'!T4</f>
        <v>X</v>
      </c>
      <c r="F2" s="9" t="str">
        <f>'All scales all studies'!U4</f>
        <v>X</v>
      </c>
      <c r="G2" s="9">
        <f>'All scales all studies'!V4</f>
        <v>0</v>
      </c>
    </row>
    <row r="3" spans="1:7">
      <c r="A3" t="s">
        <v>75</v>
      </c>
      <c r="B3" s="9" t="s">
        <v>23</v>
      </c>
      <c r="C3" s="9" t="str">
        <f>'All scales all studies'!R5</f>
        <v>X</v>
      </c>
      <c r="D3" s="9" t="str">
        <f>'All scales all studies'!S5</f>
        <v>X</v>
      </c>
      <c r="E3" s="9" t="str">
        <f>'All scales all studies'!T5</f>
        <v>X</v>
      </c>
      <c r="F3" s="9" t="str">
        <f>'All scales all studies'!U5</f>
        <v>X</v>
      </c>
      <c r="G3" s="9">
        <f>'All scales all studies'!V5</f>
        <v>0</v>
      </c>
    </row>
    <row r="4" spans="1:7">
      <c r="A4" t="s">
        <v>150</v>
      </c>
      <c r="B4" s="9" t="s">
        <v>23</v>
      </c>
      <c r="C4" s="9" t="str">
        <f>'All scales all studies'!R7</f>
        <v>X</v>
      </c>
      <c r="D4" s="9" t="str">
        <f>'All scales all studies'!S7</f>
        <v>X</v>
      </c>
      <c r="E4" s="9" t="str">
        <f>'All scales all studies'!T7</f>
        <v>X</v>
      </c>
      <c r="F4" s="9" t="str">
        <f>'All scales all studies'!U7</f>
        <v>X</v>
      </c>
      <c r="G4" s="9">
        <f>'All scales all studies'!V7</f>
        <v>0</v>
      </c>
    </row>
    <row r="5" spans="1:7">
      <c r="A5" t="s">
        <v>76</v>
      </c>
      <c r="B5" s="9" t="s">
        <v>23</v>
      </c>
      <c r="C5" s="9" t="str">
        <f>'All scales all studies'!R8</f>
        <v>X</v>
      </c>
      <c r="D5" s="9" t="str">
        <f>'All scales all studies'!S8</f>
        <v>X</v>
      </c>
      <c r="E5" s="9" t="str">
        <f>'All scales all studies'!T8</f>
        <v>X</v>
      </c>
      <c r="F5" s="9" t="str">
        <f>'All scales all studies'!U8</f>
        <v>X</v>
      </c>
      <c r="G5" s="9">
        <f>'All scales all studies'!V8</f>
        <v>0</v>
      </c>
    </row>
    <row r="6" spans="1:7">
      <c r="A6" t="s">
        <v>119</v>
      </c>
      <c r="B6" s="9" t="s">
        <v>23</v>
      </c>
      <c r="C6" s="9">
        <f>'All scales all studies'!R35</f>
        <v>0</v>
      </c>
      <c r="D6" s="9">
        <f>'All scales all studies'!S35</f>
        <v>0</v>
      </c>
      <c r="E6" s="9" t="str">
        <f>'All scales all studies'!T35</f>
        <v>X</v>
      </c>
      <c r="F6" s="9" t="str">
        <f>'All scales all studies'!U35</f>
        <v>X</v>
      </c>
      <c r="G6" s="9">
        <f>'All scales all studies'!V35</f>
        <v>0</v>
      </c>
    </row>
    <row r="7" spans="1:7">
      <c r="A7" t="s">
        <v>82</v>
      </c>
      <c r="B7" s="9" t="s">
        <v>23</v>
      </c>
      <c r="C7" s="9">
        <f>'All scales all studies'!R36</f>
        <v>0</v>
      </c>
      <c r="D7" s="9" t="str">
        <f>'All scales all studies'!S36</f>
        <v>X</v>
      </c>
      <c r="E7" s="9" t="str">
        <f>'All scales all studies'!T36</f>
        <v>X</v>
      </c>
      <c r="F7" s="9" t="str">
        <f>'All scales all studies'!U36</f>
        <v>X</v>
      </c>
      <c r="G7" s="9" t="str">
        <f>'All scales all studies'!V36</f>
        <v>X</v>
      </c>
    </row>
    <row r="8" spans="1:7">
      <c r="A8" t="s">
        <v>83</v>
      </c>
      <c r="B8" s="9" t="s">
        <v>23</v>
      </c>
      <c r="C8" s="9" t="str">
        <f>'All scales all studies'!R38</f>
        <v>X</v>
      </c>
      <c r="D8" s="9" t="str">
        <f>'All scales all studies'!S38</f>
        <v>X</v>
      </c>
      <c r="E8" s="9" t="str">
        <f>'All scales all studies'!T38</f>
        <v>X</v>
      </c>
      <c r="F8" s="9" t="str">
        <f>'All scales all studies'!U38</f>
        <v>X</v>
      </c>
      <c r="G8" s="9" t="str">
        <f>'All scales all studies'!V38</f>
        <v>X</v>
      </c>
    </row>
    <row r="9" spans="1:7">
      <c r="A9" t="s">
        <v>73</v>
      </c>
      <c r="B9" s="9" t="s">
        <v>23</v>
      </c>
      <c r="C9" s="9" t="str">
        <f>'All scales all studies'!R14</f>
        <v>X</v>
      </c>
      <c r="D9" s="9" t="str">
        <f>'All scales all studies'!S14</f>
        <v>X</v>
      </c>
      <c r="E9" s="9" t="str">
        <f>'All scales all studies'!T14</f>
        <v>X</v>
      </c>
      <c r="F9" s="9" t="str">
        <f>'All scales all studies'!U14</f>
        <v>X</v>
      </c>
      <c r="G9" s="9" t="str">
        <f>'All scales all studies'!V14</f>
        <v>X</v>
      </c>
    </row>
    <row r="10" spans="1:7">
      <c r="A10" t="s">
        <v>133</v>
      </c>
      <c r="B10" s="9" t="s">
        <v>23</v>
      </c>
      <c r="C10" s="9">
        <f>'All scales all studies'!R12</f>
        <v>0</v>
      </c>
      <c r="D10" s="9">
        <f>'All scales all studies'!S12</f>
        <v>0</v>
      </c>
      <c r="E10" s="9" t="str">
        <f>'All scales all studies'!T12</f>
        <v>X</v>
      </c>
      <c r="F10" s="9" t="str">
        <f>'All scales all studies'!U12</f>
        <v>X</v>
      </c>
      <c r="G10" s="9" t="str">
        <f>'All scales all studies'!V12</f>
        <v>X</v>
      </c>
    </row>
    <row r="11" spans="1:7">
      <c r="A11" t="s">
        <v>134</v>
      </c>
      <c r="B11" s="9" t="s">
        <v>23</v>
      </c>
      <c r="C11" s="9">
        <f>'All scales all studies'!R18</f>
        <v>0</v>
      </c>
      <c r="D11" s="9" t="str">
        <f>'All scales all studies'!S18</f>
        <v>X</v>
      </c>
      <c r="E11" s="9" t="str">
        <f>'All scales all studies'!T18</f>
        <v>X</v>
      </c>
      <c r="F11" s="9">
        <f>'All scales all studies'!U18</f>
        <v>0</v>
      </c>
      <c r="G11" s="9" t="str">
        <f>'All scales all studies'!V18</f>
        <v>X</v>
      </c>
    </row>
    <row r="12" spans="1:7">
      <c r="A12" t="s">
        <v>142</v>
      </c>
      <c r="B12" s="9" t="s">
        <v>23</v>
      </c>
      <c r="C12" s="9" t="str">
        <f>'All scales all studies'!R14</f>
        <v>X</v>
      </c>
      <c r="D12" s="9" t="str">
        <f>'All scales all studies'!S14</f>
        <v>X</v>
      </c>
      <c r="E12" s="9" t="str">
        <f>'All scales all studies'!T14</f>
        <v>X</v>
      </c>
      <c r="F12" s="9" t="str">
        <f>'All scales all studies'!U14</f>
        <v>X</v>
      </c>
      <c r="G12" s="9" t="str">
        <f>'All scales all studies'!V14</f>
        <v>X</v>
      </c>
    </row>
    <row r="13" spans="1:7">
      <c r="C13" s="3">
        <f>COUNTIF(C2:C12,"X")/COUNTIF($B2:$B12,"X")</f>
        <v>0.63636363636363635</v>
      </c>
      <c r="D13" s="3">
        <f t="shared" ref="D13:G13" si="0">COUNTIF(D2:D12,"X")/COUNTIF($B2:$B12,"X")</f>
        <v>0.81818181818181823</v>
      </c>
      <c r="E13" s="3">
        <f t="shared" si="0"/>
        <v>1</v>
      </c>
      <c r="F13" s="3">
        <f t="shared" si="0"/>
        <v>0.90909090909090906</v>
      </c>
      <c r="G13" s="3">
        <f t="shared" si="0"/>
        <v>0.54545454545454541</v>
      </c>
    </row>
  </sheetData>
  <conditionalFormatting sqref="C2:G12">
    <cfRule type="cellIs" dxfId="17" priority="1" operator="equal">
      <formula>0</formula>
    </cfRule>
    <cfRule type="cellIs" dxfId="16" priority="2" operator="equal">
      <formula>"X"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5E18-FF43-9C46-814E-4DF654C63EA3}">
  <dimension ref="A1:G7"/>
  <sheetViews>
    <sheetView workbookViewId="0">
      <selection activeCell="C1" sqref="C1:C1048576"/>
    </sheetView>
  </sheetViews>
  <sheetFormatPr baseColWidth="10" defaultRowHeight="16"/>
  <cols>
    <col min="1" max="1" width="35" customWidth="1"/>
    <col min="2" max="2" width="14.33203125" hidden="1" customWidth="1"/>
  </cols>
  <sheetData>
    <row r="1" spans="1:7">
      <c r="B1" t="s">
        <v>61</v>
      </c>
      <c r="C1" t="s">
        <v>13</v>
      </c>
      <c r="D1" t="s">
        <v>0</v>
      </c>
      <c r="E1" t="s">
        <v>3</v>
      </c>
      <c r="F1" t="s">
        <v>17</v>
      </c>
      <c r="G1" t="s">
        <v>6</v>
      </c>
    </row>
    <row r="2" spans="1:7">
      <c r="A2" t="s">
        <v>30</v>
      </c>
      <c r="B2" t="s">
        <v>23</v>
      </c>
      <c r="C2" s="9" t="str">
        <f>'All scales all studies'!R10</f>
        <v>X</v>
      </c>
      <c r="D2" s="9" t="str">
        <f>'All scales all studies'!S10</f>
        <v>X</v>
      </c>
      <c r="E2" s="9" t="str">
        <f>'All scales all studies'!T10</f>
        <v>X</v>
      </c>
      <c r="F2" s="9" t="str">
        <f>'All scales all studies'!U10</f>
        <v>X</v>
      </c>
      <c r="G2" s="9" t="str">
        <f>'All scales all studies'!V10</f>
        <v>X</v>
      </c>
    </row>
    <row r="3" spans="1:7">
      <c r="A3" s="2" t="s">
        <v>62</v>
      </c>
      <c r="B3" t="s">
        <v>23</v>
      </c>
      <c r="C3" s="9" t="str">
        <f>'All scales all studies'!R32</f>
        <v>X</v>
      </c>
      <c r="D3" s="9" t="str">
        <f>'All scales all studies'!S32</f>
        <v>X</v>
      </c>
      <c r="E3" s="9">
        <f>'All scales all studies'!T32</f>
        <v>0</v>
      </c>
      <c r="F3" s="9" t="str">
        <f>'All scales all studies'!U32</f>
        <v>X</v>
      </c>
      <c r="G3" s="9">
        <f>'All scales all studies'!V32</f>
        <v>0</v>
      </c>
    </row>
    <row r="4" spans="1:7">
      <c r="A4" s="2" t="s">
        <v>63</v>
      </c>
      <c r="B4" t="s">
        <v>23</v>
      </c>
      <c r="C4" s="9">
        <f>'All scales all studies'!R23</f>
        <v>0</v>
      </c>
      <c r="D4" s="9">
        <f>'All scales all studies'!S23</f>
        <v>0</v>
      </c>
      <c r="E4" s="9">
        <f>'All scales all studies'!T23</f>
        <v>0</v>
      </c>
      <c r="F4" s="9">
        <f>'All scales all studies'!U23</f>
        <v>0</v>
      </c>
      <c r="G4" s="9">
        <f>'All scales all studies'!V23</f>
        <v>0</v>
      </c>
    </row>
    <row r="5" spans="1:7">
      <c r="A5" s="2" t="s">
        <v>64</v>
      </c>
      <c r="B5" t="s">
        <v>23</v>
      </c>
      <c r="C5" s="9">
        <f>'All scales all studies'!R22</f>
        <v>0</v>
      </c>
      <c r="D5" s="9">
        <f>'All scales all studies'!S22</f>
        <v>0</v>
      </c>
      <c r="E5" s="9">
        <f>'All scales all studies'!T22</f>
        <v>0</v>
      </c>
      <c r="F5" s="9">
        <f>'All scales all studies'!U22</f>
        <v>0</v>
      </c>
      <c r="G5" s="9">
        <f>'All scales all studies'!V22</f>
        <v>0</v>
      </c>
    </row>
    <row r="6" spans="1:7">
      <c r="A6" s="2" t="s">
        <v>65</v>
      </c>
      <c r="B6" t="s">
        <v>23</v>
      </c>
      <c r="C6" s="9">
        <f>'All scales all studies'!R2</f>
        <v>0</v>
      </c>
      <c r="D6" s="9">
        <f>'All scales all studies'!S2</f>
        <v>0</v>
      </c>
      <c r="E6" s="9">
        <f>'All scales all studies'!T2</f>
        <v>0</v>
      </c>
      <c r="F6" s="9">
        <f>'All scales all studies'!U2</f>
        <v>0</v>
      </c>
      <c r="G6" s="9">
        <f>'All scales all studies'!V2</f>
        <v>0</v>
      </c>
    </row>
    <row r="7" spans="1:7">
      <c r="C7" s="3">
        <f>COUNTIF(C2:C6,"X")/COUNTIF($B2:$B6,"X")</f>
        <v>0.4</v>
      </c>
      <c r="D7" s="3">
        <f t="shared" ref="D7:G7" si="0">COUNTIF(D2:D6,"X")/COUNTIF($B2:$B6,"X")</f>
        <v>0.4</v>
      </c>
      <c r="E7" s="3">
        <f t="shared" si="0"/>
        <v>0.2</v>
      </c>
      <c r="F7" s="3">
        <f t="shared" si="0"/>
        <v>0.4</v>
      </c>
      <c r="G7" s="3">
        <f t="shared" si="0"/>
        <v>0.2</v>
      </c>
    </row>
  </sheetData>
  <conditionalFormatting sqref="C2:G6">
    <cfRule type="cellIs" dxfId="15" priority="1" operator="equal">
      <formula>0</formula>
    </cfRule>
    <cfRule type="cellIs" dxfId="14" priority="2" operator="equal">
      <formula>"X"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5021-3B5A-E14B-8C82-905C6D585594}">
  <dimension ref="A1:G13"/>
  <sheetViews>
    <sheetView workbookViewId="0">
      <selection activeCell="L41" sqref="L41"/>
    </sheetView>
  </sheetViews>
  <sheetFormatPr baseColWidth="10" defaultRowHeight="16"/>
  <cols>
    <col min="1" max="1" width="38.6640625" customWidth="1"/>
    <col min="2" max="2" width="0" hidden="1" customWidth="1"/>
  </cols>
  <sheetData>
    <row r="1" spans="1:7">
      <c r="C1" t="s">
        <v>13</v>
      </c>
      <c r="D1" t="s">
        <v>0</v>
      </c>
      <c r="E1" t="s">
        <v>3</v>
      </c>
      <c r="F1" t="s">
        <v>17</v>
      </c>
      <c r="G1" t="s">
        <v>6</v>
      </c>
    </row>
    <row r="2" spans="1:7">
      <c r="A2" t="str">
        <f>'All scales all studies'!A4</f>
        <v># Close friends</v>
      </c>
      <c r="B2" t="str">
        <f>'All scales all studies'!P4</f>
        <v>X</v>
      </c>
      <c r="C2" s="9" t="str">
        <f>'All scales all studies'!R4</f>
        <v>X</v>
      </c>
      <c r="D2" s="9" t="str">
        <f>'All scales all studies'!S4</f>
        <v>X</v>
      </c>
      <c r="E2" s="9" t="str">
        <f>'All scales all studies'!T4</f>
        <v>X</v>
      </c>
      <c r="F2" s="9" t="str">
        <f>'All scales all studies'!U4</f>
        <v>X</v>
      </c>
      <c r="G2" s="9">
        <f>'All scales all studies'!V4</f>
        <v>0</v>
      </c>
    </row>
    <row r="3" spans="1:7">
      <c r="A3" t="str">
        <f>'All scales all studies'!A5</f>
        <v># Close friends/mo</v>
      </c>
      <c r="B3" t="str">
        <f>'All scales all studies'!P5</f>
        <v>X</v>
      </c>
      <c r="C3" s="9" t="str">
        <f>'All scales all studies'!R5</f>
        <v>X</v>
      </c>
      <c r="D3" s="9" t="str">
        <f>'All scales all studies'!S5</f>
        <v>X</v>
      </c>
      <c r="E3" s="9" t="str">
        <f>'All scales all studies'!T5</f>
        <v>X</v>
      </c>
      <c r="F3" s="9" t="str">
        <f>'All scales all studies'!U5</f>
        <v>X</v>
      </c>
      <c r="G3" s="9">
        <f>'All scales all studies'!V5</f>
        <v>0</v>
      </c>
    </row>
    <row r="4" spans="1:7">
      <c r="A4" t="str">
        <f>'All scales all studies'!A6</f>
        <v>How often see friend with most contact?</v>
      </c>
      <c r="B4" t="str">
        <f>'All scales all studies'!P6</f>
        <v>X</v>
      </c>
      <c r="C4" s="9" t="str">
        <f>'All scales all studies'!R6</f>
        <v>X</v>
      </c>
      <c r="D4" s="9" t="str">
        <f>'All scales all studies'!S6</f>
        <v>X</v>
      </c>
      <c r="E4" s="9">
        <f>'All scales all studies'!T6</f>
        <v>0</v>
      </c>
      <c r="F4" s="9">
        <f>'All scales all studies'!U6</f>
        <v>0</v>
      </c>
      <c r="G4" s="9">
        <f>'All scales all studies'!V6</f>
        <v>0</v>
      </c>
    </row>
    <row r="5" spans="1:7">
      <c r="A5" t="str">
        <f>'All scales all studies'!A7</f>
        <v># close relatives</v>
      </c>
      <c r="B5" t="str">
        <f>'All scales all studies'!P7</f>
        <v>X</v>
      </c>
      <c r="C5" s="9" t="str">
        <f>'All scales all studies'!R7</f>
        <v>X</v>
      </c>
      <c r="D5" s="9" t="str">
        <f>'All scales all studies'!S7</f>
        <v>X</v>
      </c>
      <c r="E5" s="9" t="str">
        <f>'All scales all studies'!T7</f>
        <v>X</v>
      </c>
      <c r="F5" s="9" t="str">
        <f>'All scales all studies'!U7</f>
        <v>X</v>
      </c>
      <c r="G5" s="9">
        <f>'All scales all studies'!V7</f>
        <v>0</v>
      </c>
    </row>
    <row r="6" spans="1:7">
      <c r="A6" t="str">
        <f>'All scales all studies'!A8</f>
        <v># relatives once/month</v>
      </c>
      <c r="B6" t="str">
        <f>'All scales all studies'!P8</f>
        <v>X</v>
      </c>
      <c r="C6" s="9" t="str">
        <f>'All scales all studies'!R8</f>
        <v>X</v>
      </c>
      <c r="D6" s="9" t="str">
        <f>'All scales all studies'!S8</f>
        <v>X</v>
      </c>
      <c r="E6" s="9" t="str">
        <f>'All scales all studies'!T8</f>
        <v>X</v>
      </c>
      <c r="F6" s="9" t="str">
        <f>'All scales all studies'!U8</f>
        <v>X</v>
      </c>
      <c r="G6" s="9">
        <f>'All scales all studies'!V8</f>
        <v>0</v>
      </c>
    </row>
    <row r="7" spans="1:7">
      <c r="A7" t="str">
        <f>'All scales all studies'!A9</f>
        <v>How often see relative with most contaact</v>
      </c>
      <c r="B7" t="str">
        <f>'All scales all studies'!P9</f>
        <v>X</v>
      </c>
      <c r="C7" s="9" t="str">
        <f>'All scales all studies'!R9</f>
        <v>X</v>
      </c>
      <c r="D7" s="9" t="str">
        <f>'All scales all studies'!S9</f>
        <v>X</v>
      </c>
      <c r="E7" s="9">
        <f>'All scales all studies'!T9</f>
        <v>0</v>
      </c>
      <c r="F7" s="9" t="str">
        <f>'All scales all studies'!U9</f>
        <v>X</v>
      </c>
      <c r="G7" s="9">
        <f>'All scales all studies'!V9</f>
        <v>0</v>
      </c>
    </row>
    <row r="8" spans="1:7">
      <c r="A8" t="str">
        <f>'All scales all studies'!A14</f>
        <v>Trust at least one person's advice</v>
      </c>
      <c r="B8" t="str">
        <f>'All scales all studies'!P14</f>
        <v>X</v>
      </c>
      <c r="C8" s="9" t="str">
        <f>'All scales all studies'!R14</f>
        <v>X</v>
      </c>
      <c r="D8" s="9" t="str">
        <f>'All scales all studies'!S14</f>
        <v>X</v>
      </c>
      <c r="E8" s="9" t="str">
        <f>'All scales all studies'!T14</f>
        <v>X</v>
      </c>
      <c r="F8" s="9" t="str">
        <f>'All scales all studies'!U14</f>
        <v>X</v>
      </c>
      <c r="G8" s="9" t="str">
        <f>'All scales all studies'!V14</f>
        <v>X</v>
      </c>
    </row>
    <row r="9" spans="1:7">
      <c r="A9" t="str">
        <f>'All scales all studies'!A16</f>
        <v>Has someone who can help with a serious/personal problem.</v>
      </c>
      <c r="B9" t="str">
        <f>'All scales all studies'!P16</f>
        <v>X</v>
      </c>
      <c r="C9" s="9" t="str">
        <f>'All scales all studies'!R16</f>
        <v>X</v>
      </c>
      <c r="D9" s="9" t="str">
        <f>'All scales all studies'!S16</f>
        <v>X</v>
      </c>
      <c r="E9" s="9" t="str">
        <f>'All scales all studies'!T16</f>
        <v>X</v>
      </c>
      <c r="F9" s="9" t="str">
        <f>'All scales all studies'!U16</f>
        <v>X</v>
      </c>
      <c r="G9" s="9" t="str">
        <f>'All scales all studies'!V16</f>
        <v>X</v>
      </c>
    </row>
    <row r="10" spans="1:7">
      <c r="A10" t="str">
        <f>'All scales all studies'!A17</f>
        <v>Has someone they can trust/confidant</v>
      </c>
      <c r="B10" t="str">
        <f>'All scales all studies'!P17</f>
        <v>X</v>
      </c>
      <c r="C10" s="9" t="str">
        <f>'All scales all studies'!R17</f>
        <v>X</v>
      </c>
      <c r="D10" s="9" t="str">
        <f>'All scales all studies'!S17</f>
        <v>X</v>
      </c>
      <c r="E10" s="9" t="str">
        <f>'All scales all studies'!T17</f>
        <v>X</v>
      </c>
      <c r="F10" s="9">
        <f>'All scales all studies'!U17</f>
        <v>0</v>
      </c>
      <c r="G10" s="9" t="str">
        <f>'All scales all studies'!V17</f>
        <v>X</v>
      </c>
    </row>
    <row r="11" spans="1:7">
      <c r="A11" t="str">
        <f>'All scales all studies'!A30</f>
        <v>Others talk to you about important decisions</v>
      </c>
      <c r="B11" t="str">
        <f>'All scales all studies'!P30</f>
        <v>X</v>
      </c>
      <c r="C11" s="9" t="str">
        <f>'All scales all studies'!R30</f>
        <v>X</v>
      </c>
      <c r="D11" s="9" t="str">
        <f>'All scales all studies'!S30</f>
        <v>X</v>
      </c>
      <c r="E11" s="9">
        <f>'All scales all studies'!T30</f>
        <v>0</v>
      </c>
      <c r="F11" s="9">
        <f>'All scales all studies'!U30</f>
        <v>0</v>
      </c>
      <c r="G11" s="9">
        <f>'All scales all studies'!V30</f>
        <v>0</v>
      </c>
    </row>
    <row r="12" spans="1:7">
      <c r="A12" t="str">
        <f>'All scales all studies'!A32</f>
        <v>Helps others in need</v>
      </c>
      <c r="B12" t="str">
        <f>'All scales all studies'!P32</f>
        <v>X</v>
      </c>
      <c r="C12" s="9" t="str">
        <f>'All scales all studies'!R32</f>
        <v>X</v>
      </c>
      <c r="D12" s="9" t="str">
        <f>'All scales all studies'!S32</f>
        <v>X</v>
      </c>
      <c r="E12" s="9">
        <f>'All scales all studies'!T32</f>
        <v>0</v>
      </c>
      <c r="F12" s="9" t="str">
        <f>'All scales all studies'!U32</f>
        <v>X</v>
      </c>
      <c r="G12" s="9">
        <f>'All scales all studies'!V32</f>
        <v>0</v>
      </c>
    </row>
    <row r="13" spans="1:7">
      <c r="C13" s="3">
        <f>COUNTIF(C2:C12,"X")/COUNTIF($B2:$B12,"X")</f>
        <v>1</v>
      </c>
      <c r="D13" s="3">
        <f t="shared" ref="D13:G13" si="0">COUNTIF(D2:D12,"X")/COUNTIF($B2:$B12,"X")</f>
        <v>1</v>
      </c>
      <c r="E13" s="3">
        <f t="shared" si="0"/>
        <v>0.63636363636363635</v>
      </c>
      <c r="F13" s="3">
        <f t="shared" si="0"/>
        <v>0.72727272727272729</v>
      </c>
      <c r="G13" s="3">
        <f t="shared" si="0"/>
        <v>0.27272727272727271</v>
      </c>
    </row>
  </sheetData>
  <conditionalFormatting sqref="C2:G12">
    <cfRule type="cellIs" dxfId="13" priority="1" operator="equal">
      <formula>0</formula>
    </cfRule>
    <cfRule type="cellIs" dxfId="12" priority="2" operator="equal">
      <formula>"X"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7DE4-1C4F-A040-8058-5A9DCDCD58C4}">
  <dimension ref="A1:G17"/>
  <sheetViews>
    <sheetView workbookViewId="0">
      <selection activeCell="E17" sqref="E17"/>
    </sheetView>
  </sheetViews>
  <sheetFormatPr baseColWidth="10" defaultRowHeight="16"/>
  <cols>
    <col min="1" max="1" width="34.1640625" customWidth="1"/>
    <col min="2" max="2" width="2.83203125" hidden="1" customWidth="1"/>
  </cols>
  <sheetData>
    <row r="1" spans="1:7">
      <c r="B1" t="s">
        <v>41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studies'!A44</f>
        <v>Everything an effort (CESD)</v>
      </c>
      <c r="B2" t="str">
        <f>'All scales all studies'!I44</f>
        <v>X</v>
      </c>
      <c r="C2" s="9" t="str">
        <f>'All scales all studies'!R44</f>
        <v>X</v>
      </c>
      <c r="D2" s="9" t="str">
        <f>'All scales all studies'!S44</f>
        <v>X</v>
      </c>
      <c r="E2" s="9" t="str">
        <f>'All scales all studies'!T44</f>
        <v>X</v>
      </c>
      <c r="F2" s="9" t="str">
        <f>'All scales all studies'!U44</f>
        <v>X</v>
      </c>
      <c r="G2" s="9" t="str">
        <f>'All scales all studies'!V44</f>
        <v>X</v>
      </c>
    </row>
    <row r="3" spans="1:7">
      <c r="A3" t="str">
        <f>'All scales all studies'!A45</f>
        <v>Couldn't get going (CESD)</v>
      </c>
      <c r="B3" t="str">
        <f>'All scales all studies'!I45</f>
        <v>X</v>
      </c>
      <c r="C3" s="9" t="str">
        <f>'All scales all studies'!R45</f>
        <v>X</v>
      </c>
      <c r="D3" s="9" t="str">
        <f>'All scales all studies'!S45</f>
        <v>X</v>
      </c>
      <c r="E3" s="9" t="str">
        <f>'All scales all studies'!T45</f>
        <v>X</v>
      </c>
      <c r="F3" s="9" t="str">
        <f>'All scales all studies'!U45</f>
        <v>X</v>
      </c>
      <c r="G3" s="9" t="str">
        <f>'All scales all studies'!V45</f>
        <v>X</v>
      </c>
    </row>
    <row r="4" spans="1:7">
      <c r="A4" t="str">
        <f>'All scales all studies'!A52</f>
        <v>Able to walk up one flight (resistance)</v>
      </c>
      <c r="B4" t="str">
        <f>'All scales all studies'!I52</f>
        <v>X</v>
      </c>
      <c r="C4" s="9" t="str">
        <f>'All scales all studies'!R52</f>
        <v>X</v>
      </c>
      <c r="D4" s="9" t="str">
        <f>'All scales all studies'!S52</f>
        <v>X</v>
      </c>
      <c r="E4" s="9" t="str">
        <f>'All scales all studies'!T52</f>
        <v>X</v>
      </c>
      <c r="F4" s="9" t="str">
        <f>'All scales all studies'!U52</f>
        <v>X</v>
      </c>
      <c r="G4" s="9" t="str">
        <f>'All scales all studies'!V52</f>
        <v>X</v>
      </c>
    </row>
    <row r="5" spans="1:7">
      <c r="A5" t="str">
        <f>'All scales all studies'!A54</f>
        <v>Able to walk 1/2 mile (self-report)</v>
      </c>
      <c r="B5" t="str">
        <f>'All scales all studies'!I54</f>
        <v>X</v>
      </c>
      <c r="C5" s="9" t="str">
        <f>'All scales all studies'!R54</f>
        <v>X</v>
      </c>
      <c r="D5" s="9" t="str">
        <f>'All scales all studies'!S54</f>
        <v>X</v>
      </c>
      <c r="E5" s="9" t="str">
        <f>'All scales all studies'!T54</f>
        <v>X</v>
      </c>
      <c r="F5" s="9" t="str">
        <f>'All scales all studies'!U54</f>
        <v>X</v>
      </c>
      <c r="G5" s="9" t="str">
        <f>'All scales all studies'!V54</f>
        <v>X</v>
      </c>
    </row>
    <row r="6" spans="1:7">
      <c r="A6" t="str">
        <f>'All scales all studies'!A59</f>
        <v>Weight loss in past year</v>
      </c>
      <c r="B6" t="str">
        <f>'All scales all studies'!I59</f>
        <v>X</v>
      </c>
      <c r="C6" s="9" t="str">
        <f>'All scales all studies'!R59</f>
        <v>X</v>
      </c>
      <c r="D6" s="9" t="str">
        <f>'All scales all studies'!S59</f>
        <v>X</v>
      </c>
      <c r="E6" s="9" t="str">
        <f>'All scales all studies'!T59</f>
        <v>X</v>
      </c>
      <c r="F6" s="9" t="str">
        <f>'All scales all studies'!U59</f>
        <v>X</v>
      </c>
      <c r="G6" s="9" t="str">
        <f>'All scales all studies'!V59</f>
        <v>X</v>
      </c>
    </row>
    <row r="7" spans="1:7">
      <c r="A7" t="str">
        <f>'All scales all studies'!A73</f>
        <v>DM</v>
      </c>
      <c r="B7" t="str">
        <f>'All scales all studies'!I73</f>
        <v>X</v>
      </c>
      <c r="C7" s="9" t="str">
        <f>'All scales all studies'!R73</f>
        <v>X</v>
      </c>
      <c r="D7" s="9" t="str">
        <f>'All scales all studies'!S73</f>
        <v>X</v>
      </c>
      <c r="E7" s="9" t="str">
        <f>'All scales all studies'!T73</f>
        <v>X</v>
      </c>
      <c r="F7" s="9" t="str">
        <f>'All scales all studies'!U73</f>
        <v>X</v>
      </c>
      <c r="G7" s="9" t="str">
        <f>'All scales all studies'!V73</f>
        <v>X</v>
      </c>
    </row>
    <row r="8" spans="1:7">
      <c r="A8" t="str">
        <f>'All scales all studies'!A74</f>
        <v>HTN</v>
      </c>
      <c r="B8" t="str">
        <f>'All scales all studies'!I74</f>
        <v>X</v>
      </c>
      <c r="C8" s="9" t="str">
        <f>'All scales all studies'!R74</f>
        <v>X</v>
      </c>
      <c r="D8" s="9" t="str">
        <f>'All scales all studies'!S74</f>
        <v>X</v>
      </c>
      <c r="E8" s="9" t="str">
        <f>'All scales all studies'!T74</f>
        <v>X</v>
      </c>
      <c r="F8" s="9" t="str">
        <f>'All scales all studies'!U74</f>
        <v>X</v>
      </c>
      <c r="G8" s="9" t="str">
        <f>'All scales all studies'!V74</f>
        <v>X</v>
      </c>
    </row>
    <row r="9" spans="1:7">
      <c r="A9" t="str">
        <f>'All scales all studies'!A75</f>
        <v>COPD</v>
      </c>
      <c r="B9" t="str">
        <f>'All scales all studies'!I75</f>
        <v>X</v>
      </c>
      <c r="C9" s="9" t="str">
        <f>'All scales all studies'!R75</f>
        <v>X</v>
      </c>
      <c r="D9" s="9" t="str">
        <f>'All scales all studies'!S75</f>
        <v>X</v>
      </c>
      <c r="E9" s="9" t="str">
        <f>'All scales all studies'!T75</f>
        <v>X</v>
      </c>
      <c r="F9" s="9" t="str">
        <f>'All scales all studies'!U75</f>
        <v>X</v>
      </c>
      <c r="G9" s="9" t="str">
        <f>'All scales all studies'!V75</f>
        <v>X</v>
      </c>
    </row>
    <row r="10" spans="1:7">
      <c r="A10" t="str">
        <f>'All scales all studies'!A76</f>
        <v>Asthma</v>
      </c>
      <c r="B10" t="str">
        <f>'All scales all studies'!I76</f>
        <v>X</v>
      </c>
      <c r="C10" s="9" t="str">
        <f>'All scales all studies'!R76</f>
        <v>X</v>
      </c>
      <c r="D10" s="9" t="str">
        <f>'All scales all studies'!S76</f>
        <v>X</v>
      </c>
      <c r="E10" s="9" t="str">
        <f>'All scales all studies'!T76</f>
        <v>X</v>
      </c>
      <c r="F10" s="9" t="str">
        <f>'All scales all studies'!U76</f>
        <v>X</v>
      </c>
      <c r="G10" s="9" t="str">
        <f>'All scales all studies'!V76</f>
        <v>X</v>
      </c>
    </row>
    <row r="11" spans="1:7">
      <c r="A11" t="str">
        <f>'All scales all studies'!A77</f>
        <v>DJD</v>
      </c>
      <c r="B11" t="str">
        <f>'All scales all studies'!I77</f>
        <v>X</v>
      </c>
      <c r="C11" s="9" t="str">
        <f>'All scales all studies'!R77</f>
        <v>X</v>
      </c>
      <c r="D11" s="9" t="str">
        <f>'All scales all studies'!S77</f>
        <v>X</v>
      </c>
      <c r="E11" s="9" t="str">
        <f>'All scales all studies'!T77</f>
        <v>X</v>
      </c>
      <c r="F11" s="9">
        <f>'All scales all studies'!U77</f>
        <v>0</v>
      </c>
      <c r="G11" s="9" t="str">
        <f>'All scales all studies'!V77</f>
        <v>X</v>
      </c>
    </row>
    <row r="12" spans="1:7">
      <c r="A12" t="str">
        <f>'All scales all studies'!A78</f>
        <v>CKD</v>
      </c>
      <c r="B12" t="str">
        <f>'All scales all studies'!I78</f>
        <v>X</v>
      </c>
      <c r="C12" s="9" t="str">
        <f>'All scales all studies'!R78</f>
        <v>X</v>
      </c>
      <c r="D12" s="9" t="str">
        <f>'All scales all studies'!S78</f>
        <v>X</v>
      </c>
      <c r="E12" s="9" t="str">
        <f>'All scales all studies'!T78</f>
        <v>X</v>
      </c>
      <c r="F12" s="9" t="str">
        <f>'All scales all studies'!U78</f>
        <v>X</v>
      </c>
      <c r="G12" s="9" t="str">
        <f>'All scales all studies'!V78</f>
        <v>X</v>
      </c>
    </row>
    <row r="13" spans="1:7">
      <c r="A13" t="str">
        <f>'All scales all studies'!A79</f>
        <v>CHF</v>
      </c>
      <c r="B13" t="str">
        <f>'All scales all studies'!I79</f>
        <v>X</v>
      </c>
      <c r="C13" s="9" t="str">
        <f>'All scales all studies'!R79</f>
        <v>X</v>
      </c>
      <c r="D13" s="9" t="str">
        <f>'All scales all studies'!S79</f>
        <v>X</v>
      </c>
      <c r="E13" s="9" t="str">
        <f>'All scales all studies'!T79</f>
        <v>X</v>
      </c>
      <c r="F13" s="9" t="str">
        <f>'All scales all studies'!U79</f>
        <v>X</v>
      </c>
      <c r="G13" s="9" t="str">
        <f>'All scales all studies'!V79</f>
        <v>X</v>
      </c>
    </row>
    <row r="14" spans="1:7">
      <c r="A14" t="str">
        <f>'All scales all studies'!A80</f>
        <v>CAD</v>
      </c>
      <c r="B14" t="str">
        <f>'All scales all studies'!I80</f>
        <v>X</v>
      </c>
      <c r="C14" s="9" t="str">
        <f>'All scales all studies'!R80</f>
        <v>X</v>
      </c>
      <c r="D14" s="9" t="str">
        <f>'All scales all studies'!S80</f>
        <v>X</v>
      </c>
      <c r="E14" s="9" t="str">
        <f>'All scales all studies'!T80</f>
        <v>X</v>
      </c>
      <c r="F14" s="9" t="str">
        <f>'All scales all studies'!U80</f>
        <v>X</v>
      </c>
      <c r="G14" s="9" t="str">
        <f>'All scales all studies'!V80</f>
        <v>X</v>
      </c>
    </row>
    <row r="15" spans="1:7">
      <c r="A15" t="str">
        <f>'All scales all studies'!A81</f>
        <v>CVA</v>
      </c>
      <c r="B15" t="str">
        <f>'All scales all studies'!I81</f>
        <v>X</v>
      </c>
      <c r="C15" s="9" t="str">
        <f>'All scales all studies'!R81</f>
        <v>X</v>
      </c>
      <c r="D15" s="9" t="str">
        <f>'All scales all studies'!S81</f>
        <v>X</v>
      </c>
      <c r="E15" s="9" t="str">
        <f>'All scales all studies'!T81</f>
        <v>X</v>
      </c>
      <c r="F15" s="9" t="str">
        <f>'All scales all studies'!U81</f>
        <v>X</v>
      </c>
      <c r="G15" s="9" t="str">
        <f>'All scales all studies'!V81</f>
        <v>X</v>
      </c>
    </row>
    <row r="16" spans="1:7">
      <c r="A16" t="str">
        <f>'All scales all studies'!A82</f>
        <v>Cancer</v>
      </c>
      <c r="B16" t="str">
        <f>'All scales all studies'!I82</f>
        <v>X</v>
      </c>
      <c r="C16" s="9" t="str">
        <f>'All scales all studies'!R82</f>
        <v>X</v>
      </c>
      <c r="D16" s="9" t="str">
        <f>'All scales all studies'!S82</f>
        <v>X</v>
      </c>
      <c r="E16" s="9" t="str">
        <f>'All scales all studies'!T82</f>
        <v>X</v>
      </c>
      <c r="F16" s="9" t="str">
        <f>'All scales all studies'!U82</f>
        <v>X</v>
      </c>
      <c r="G16" s="9" t="str">
        <f>'All scales all studies'!V82</f>
        <v>X</v>
      </c>
    </row>
    <row r="17" spans="3:7">
      <c r="C17" s="3">
        <f>COUNTIF(C2:C16,"X")/COUNTIF($B2:$B16,"X")</f>
        <v>1</v>
      </c>
      <c r="D17" s="3">
        <f>COUNTIF(D2:D16,"X")/COUNTIF($B2:$B16,"X")</f>
        <v>1</v>
      </c>
      <c r="E17" s="3">
        <f>COUNTIF(E2:E16,"X")/COUNTIF($B2:$B16,"X")</f>
        <v>1</v>
      </c>
      <c r="F17" s="3">
        <f>COUNTIF(F2:F16,"X")/COUNTIF($B2:$B16,"X")</f>
        <v>0.93333333333333335</v>
      </c>
      <c r="G17" s="3">
        <f>COUNTIF(G2:G16,"X")/COUNTIF($B2:$B16,"X")</f>
        <v>1</v>
      </c>
    </row>
  </sheetData>
  <conditionalFormatting sqref="C2:G16">
    <cfRule type="cellIs" dxfId="11" priority="1" operator="equal">
      <formula>0</formula>
    </cfRule>
    <cfRule type="cellIs" dxfId="10" priority="2" operator="equal">
      <formula>"X"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B843-EBB6-0C40-BD12-2730FDB40038}">
  <dimension ref="A1:G8"/>
  <sheetViews>
    <sheetView workbookViewId="0">
      <selection activeCell="H41" sqref="H41"/>
    </sheetView>
  </sheetViews>
  <sheetFormatPr baseColWidth="10" defaultRowHeight="16"/>
  <cols>
    <col min="1" max="1" width="23.5" customWidth="1"/>
    <col min="2" max="2" width="4.5" hidden="1" customWidth="1"/>
  </cols>
  <sheetData>
    <row r="1" spans="1:7">
      <c r="B1" t="s">
        <v>42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studies'!A44</f>
        <v>Everything an effort (CESD)</v>
      </c>
      <c r="B2" t="str">
        <f>'All scales all studies'!J44</f>
        <v>X</v>
      </c>
      <c r="C2" s="9" t="str">
        <f>'All scales all studies'!R44</f>
        <v>X</v>
      </c>
      <c r="D2" s="9" t="str">
        <f>'All scales all studies'!S44</f>
        <v>X</v>
      </c>
      <c r="E2" s="9" t="str">
        <f>'All scales all studies'!T44</f>
        <v>X</v>
      </c>
      <c r="F2" s="9" t="str">
        <f>'All scales all studies'!U44</f>
        <v>X</v>
      </c>
      <c r="G2" s="9" t="str">
        <f>'All scales all studies'!V44</f>
        <v>X</v>
      </c>
    </row>
    <row r="3" spans="1:7">
      <c r="A3" t="str">
        <f>'All scales all studies'!A45</f>
        <v>Couldn't get going (CESD)</v>
      </c>
      <c r="B3" t="str">
        <f>'All scales all studies'!J45</f>
        <v>X</v>
      </c>
      <c r="C3" s="9" t="str">
        <f>'All scales all studies'!R45</f>
        <v>X</v>
      </c>
      <c r="D3" s="9" t="str">
        <f>'All scales all studies'!S45</f>
        <v>X</v>
      </c>
      <c r="E3" s="9" t="str">
        <f>'All scales all studies'!T45</f>
        <v>X</v>
      </c>
      <c r="F3" s="9" t="str">
        <f>'All scales all studies'!U45</f>
        <v>X</v>
      </c>
      <c r="G3" s="9" t="str">
        <f>'All scales all studies'!V45</f>
        <v>X</v>
      </c>
    </row>
    <row r="4" spans="1:7">
      <c r="A4" t="str">
        <f>'All scales all studies'!A49</f>
        <v>Physical activity (kcal/day, self-report)</v>
      </c>
      <c r="B4" t="str">
        <f>'All scales all studies'!J49</f>
        <v>X</v>
      </c>
      <c r="C4" s="9" t="str">
        <f>'All scales all studies'!R49</f>
        <v>X</v>
      </c>
      <c r="D4" s="9" t="str">
        <f>'All scales all studies'!S49</f>
        <v>X</v>
      </c>
      <c r="E4" s="9" t="str">
        <f>'All scales all studies'!T49</f>
        <v>X</v>
      </c>
      <c r="F4" s="9" t="str">
        <f>'All scales all studies'!U49</f>
        <v>X</v>
      </c>
      <c r="G4" s="9" t="str">
        <f>'All scales all studies'!V49</f>
        <v>X</v>
      </c>
    </row>
    <row r="5" spans="1:7">
      <c r="A5" t="str">
        <f>'All scales all studies'!A55</f>
        <v>Gait speed (measured)</v>
      </c>
      <c r="B5" t="str">
        <f>'All scales all studies'!J55</f>
        <v>X</v>
      </c>
      <c r="C5" s="9" t="str">
        <f>'All scales all studies'!R55</f>
        <v>X</v>
      </c>
      <c r="D5" s="9" t="str">
        <f>'All scales all studies'!S55</f>
        <v>X</v>
      </c>
      <c r="E5" s="9" t="str">
        <f>'All scales all studies'!T55</f>
        <v>X</v>
      </c>
      <c r="F5" s="9">
        <f>'All scales all studies'!U55</f>
        <v>0</v>
      </c>
      <c r="G5" s="9">
        <f>'All scales all studies'!V55</f>
        <v>0</v>
      </c>
    </row>
    <row r="6" spans="1:7">
      <c r="A6" t="str">
        <f>'All scales all studies'!A56</f>
        <v>Grip strength (measured)</v>
      </c>
      <c r="B6" t="str">
        <f>'All scales all studies'!J56</f>
        <v>X</v>
      </c>
      <c r="C6" s="9" t="str">
        <f>'All scales all studies'!R56</f>
        <v>X</v>
      </c>
      <c r="D6" s="9" t="str">
        <f>'All scales all studies'!S56</f>
        <v>X</v>
      </c>
      <c r="E6" s="9" t="str">
        <f>'All scales all studies'!T56</f>
        <v>X</v>
      </c>
      <c r="F6" s="9">
        <f>'All scales all studies'!U56</f>
        <v>0</v>
      </c>
      <c r="G6" s="9">
        <f>'All scales all studies'!V56</f>
        <v>0</v>
      </c>
    </row>
    <row r="7" spans="1:7">
      <c r="A7" t="str">
        <f>'All scales all studies'!A59</f>
        <v>Weight loss in past year</v>
      </c>
      <c r="B7" t="str">
        <f>'All scales all studies'!J59</f>
        <v>X</v>
      </c>
      <c r="C7" s="9" t="str">
        <f>'All scales all studies'!R59</f>
        <v>X</v>
      </c>
      <c r="D7" s="9" t="str">
        <f>'All scales all studies'!S59</f>
        <v>X</v>
      </c>
      <c r="E7" s="9" t="str">
        <f>'All scales all studies'!T59</f>
        <v>X</v>
      </c>
      <c r="F7" s="9" t="str">
        <f>'All scales all studies'!U59</f>
        <v>X</v>
      </c>
      <c r="G7" s="9" t="str">
        <f>'All scales all studies'!V59</f>
        <v>X</v>
      </c>
    </row>
    <row r="8" spans="1:7">
      <c r="C8" s="3">
        <f>COUNTIF(C2:C7,"X")/COUNTIF($B2:$B7,"X")</f>
        <v>1</v>
      </c>
      <c r="D8" s="3">
        <f t="shared" ref="D8:G8" si="0">COUNTIF(D2:D7,"X")/COUNTIF($B2:$B7,"X")</f>
        <v>1</v>
      </c>
      <c r="E8" s="3">
        <f t="shared" si="0"/>
        <v>1</v>
      </c>
      <c r="F8" s="3">
        <f t="shared" si="0"/>
        <v>0.66666666666666663</v>
      </c>
      <c r="G8" s="3">
        <f t="shared" si="0"/>
        <v>0.66666666666666663</v>
      </c>
    </row>
  </sheetData>
  <conditionalFormatting sqref="C2:G7">
    <cfRule type="cellIs" dxfId="9" priority="1" operator="equal">
      <formula>0</formula>
    </cfRule>
    <cfRule type="cellIs" dxfId="8" priority="2" operator="equal">
      <formula>"X"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5151-6585-EC4B-804A-6D6C3AE1DE7D}">
  <dimension ref="A1:G35"/>
  <sheetViews>
    <sheetView workbookViewId="0">
      <selection activeCell="C1" sqref="C1:G1"/>
    </sheetView>
  </sheetViews>
  <sheetFormatPr baseColWidth="10" defaultRowHeight="16"/>
  <cols>
    <col min="1" max="1" width="54.5" customWidth="1"/>
    <col min="2" max="2" width="4" hidden="1" customWidth="1"/>
  </cols>
  <sheetData>
    <row r="1" spans="1:7">
      <c r="B1" t="s">
        <v>44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studies'!A44</f>
        <v>Everything an effort (CESD)</v>
      </c>
      <c r="B2" t="str">
        <f>'All scales all studies'!K44</f>
        <v>X</v>
      </c>
      <c r="C2" s="9" t="str">
        <f>'All scales all studies'!R44</f>
        <v>X</v>
      </c>
      <c r="D2" s="9" t="str">
        <f>'All scales all studies'!S44</f>
        <v>X</v>
      </c>
      <c r="E2" s="9" t="str">
        <f>'All scales all studies'!T44</f>
        <v>X</v>
      </c>
      <c r="F2" s="9" t="str">
        <f>'All scales all studies'!U44</f>
        <v>X</v>
      </c>
      <c r="G2" s="9" t="str">
        <f>'All scales all studies'!V44</f>
        <v>X</v>
      </c>
    </row>
    <row r="3" spans="1:7">
      <c r="A3" t="str">
        <f>'All scales all studies'!A45</f>
        <v>Couldn't get going (CESD)</v>
      </c>
      <c r="B3" t="str">
        <f>'All scales all studies'!K45</f>
        <v>X</v>
      </c>
      <c r="C3" s="9" t="str">
        <f>'All scales all studies'!R45</f>
        <v>X</v>
      </c>
      <c r="D3" s="9" t="str">
        <f>'All scales all studies'!S45</f>
        <v>X</v>
      </c>
      <c r="E3" s="9" t="str">
        <f>'All scales all studies'!T45</f>
        <v>X</v>
      </c>
      <c r="F3" s="9" t="str">
        <f>'All scales all studies'!U45</f>
        <v>X</v>
      </c>
      <c r="G3" s="9" t="str">
        <f>'All scales all studies'!V45</f>
        <v>X</v>
      </c>
    </row>
    <row r="4" spans="1:7">
      <c r="A4" t="str">
        <f>'All scales all studies'!A48</f>
        <v>Able to do moderate activity</v>
      </c>
      <c r="B4" t="str">
        <f>'All scales all studies'!K48</f>
        <v>X</v>
      </c>
      <c r="C4" s="9" t="str">
        <f>'All scales all studies'!R48</f>
        <v>X</v>
      </c>
      <c r="D4" s="9" t="str">
        <f>'All scales all studies'!S48</f>
        <v>X</v>
      </c>
      <c r="E4" s="9" t="str">
        <f>'All scales all studies'!T48</f>
        <v>X</v>
      </c>
      <c r="F4" s="9" t="str">
        <f>'All scales all studies'!U48</f>
        <v>X</v>
      </c>
      <c r="G4" s="9">
        <f>'All scales all studies'!V48</f>
        <v>0</v>
      </c>
    </row>
    <row r="5" spans="1:7">
      <c r="A5" t="str">
        <f>'All scales all studies'!A52</f>
        <v>Able to walk up one flight (resistance)</v>
      </c>
      <c r="B5" t="str">
        <f>'All scales all studies'!K52</f>
        <v>X</v>
      </c>
      <c r="C5" s="9" t="str">
        <f>'All scales all studies'!R52</f>
        <v>X</v>
      </c>
      <c r="D5" s="9" t="str">
        <f>'All scales all studies'!S52</f>
        <v>X</v>
      </c>
      <c r="E5" s="9" t="str">
        <f>'All scales all studies'!T52</f>
        <v>X</v>
      </c>
      <c r="F5" s="9" t="str">
        <f>'All scales all studies'!U52</f>
        <v>X</v>
      </c>
      <c r="G5" s="9" t="str">
        <f>'All scales all studies'!V52</f>
        <v>X</v>
      </c>
    </row>
    <row r="6" spans="1:7">
      <c r="A6" t="str">
        <f>'All scales all studies'!A53</f>
        <v>Can walk up several flights (self-report)</v>
      </c>
      <c r="B6" t="str">
        <f>'All scales all studies'!K53</f>
        <v>X</v>
      </c>
      <c r="C6" s="9" t="str">
        <f>'All scales all studies'!R53</f>
        <v>X</v>
      </c>
      <c r="D6" s="9" t="str">
        <f>'All scales all studies'!S53</f>
        <v>X</v>
      </c>
      <c r="E6" s="9" t="str">
        <f>'All scales all studies'!T53</f>
        <v>X</v>
      </c>
      <c r="F6" s="9">
        <f>'All scales all studies'!U53</f>
        <v>0</v>
      </c>
      <c r="G6" s="9">
        <f>'All scales all studies'!V53</f>
        <v>0</v>
      </c>
    </row>
    <row r="7" spans="1:7">
      <c r="A7" t="str">
        <f>'All scales all studies'!A54</f>
        <v>Able to walk 1/2 mile (self-report)</v>
      </c>
      <c r="B7" t="str">
        <f>'All scales all studies'!K54</f>
        <v>X</v>
      </c>
      <c r="C7" s="9" t="str">
        <f>'All scales all studies'!R54</f>
        <v>X</v>
      </c>
      <c r="D7" s="9" t="str">
        <f>'All scales all studies'!S54</f>
        <v>X</v>
      </c>
      <c r="E7" s="9" t="str">
        <f>'All scales all studies'!T54</f>
        <v>X</v>
      </c>
      <c r="F7" s="9" t="str">
        <f>'All scales all studies'!U54</f>
        <v>X</v>
      </c>
      <c r="G7" s="9" t="str">
        <f>'All scales all studies'!V54</f>
        <v>X</v>
      </c>
    </row>
    <row r="8" spans="1:7">
      <c r="A8" t="str">
        <f>'All scales all studies'!A55</f>
        <v>Gait speed (measured)</v>
      </c>
      <c r="B8" t="str">
        <f>'All scales all studies'!K55</f>
        <v>X</v>
      </c>
      <c r="C8" s="9" t="str">
        <f>'All scales all studies'!R55</f>
        <v>X</v>
      </c>
      <c r="D8" s="9" t="str">
        <f>'All scales all studies'!S55</f>
        <v>X</v>
      </c>
      <c r="E8" s="9" t="str">
        <f>'All scales all studies'!T55</f>
        <v>X</v>
      </c>
      <c r="F8" s="9">
        <f>'All scales all studies'!U55</f>
        <v>0</v>
      </c>
      <c r="G8" s="9">
        <f>'All scales all studies'!V55</f>
        <v>0</v>
      </c>
    </row>
    <row r="9" spans="1:7">
      <c r="A9" t="str">
        <f>'All scales all studies'!A56</f>
        <v>Grip strength (measured)</v>
      </c>
      <c r="B9" t="str">
        <f>'All scales all studies'!K56</f>
        <v>X</v>
      </c>
      <c r="C9" s="9" t="str">
        <f>'All scales all studies'!R56</f>
        <v>X</v>
      </c>
      <c r="D9" s="9" t="str">
        <f>'All scales all studies'!S56</f>
        <v>X</v>
      </c>
      <c r="E9" s="9" t="str">
        <f>'All scales all studies'!T56</f>
        <v>X</v>
      </c>
      <c r="F9" s="9">
        <f>'All scales all studies'!U56</f>
        <v>0</v>
      </c>
      <c r="G9" s="9">
        <f>'All scales all studies'!V56</f>
        <v>0</v>
      </c>
    </row>
    <row r="10" spans="1:7">
      <c r="A10" t="str">
        <f>'All scales all studies'!A58</f>
        <v>BMI</v>
      </c>
      <c r="B10" t="str">
        <f>'All scales all studies'!K58</f>
        <v>X</v>
      </c>
      <c r="C10" s="9" t="str">
        <f>'All scales all studies'!R58</f>
        <v>X</v>
      </c>
      <c r="D10" s="9" t="str">
        <f>'All scales all studies'!S58</f>
        <v>X</v>
      </c>
      <c r="E10" s="9" t="str">
        <f>'All scales all studies'!T58</f>
        <v>X</v>
      </c>
      <c r="F10" s="9" t="str">
        <f>'All scales all studies'!U58</f>
        <v>X</v>
      </c>
      <c r="G10" s="9" t="str">
        <f>'All scales all studies'!V58</f>
        <v>X</v>
      </c>
    </row>
    <row r="11" spans="1:7">
      <c r="A11" t="str">
        <f>'All scales all studies'!A59</f>
        <v>Weight loss in past year</v>
      </c>
      <c r="B11" t="str">
        <f>'All scales all studies'!K59</f>
        <v>X</v>
      </c>
      <c r="C11" s="9" t="str">
        <f>'All scales all studies'!R59</f>
        <v>X</v>
      </c>
      <c r="D11" s="9" t="str">
        <f>'All scales all studies'!S59</f>
        <v>X</v>
      </c>
      <c r="E11" s="9" t="str">
        <f>'All scales all studies'!T59</f>
        <v>X</v>
      </c>
      <c r="F11" s="9" t="str">
        <f>'All scales all studies'!U59</f>
        <v>X</v>
      </c>
      <c r="G11" s="9" t="str">
        <f>'All scales all studies'!V59</f>
        <v>X</v>
      </c>
    </row>
    <row r="12" spans="1:7">
      <c r="A12" t="str">
        <f>'All scales all studies'!A65</f>
        <v>Felt nervous/anxious (last month)</v>
      </c>
      <c r="B12" t="str">
        <f>'All scales all studies'!K65</f>
        <v>X</v>
      </c>
      <c r="C12" s="9" t="str">
        <f>'All scales all studies'!R65</f>
        <v>X</v>
      </c>
      <c r="D12" s="9" t="str">
        <f>'All scales all studies'!S65</f>
        <v>X</v>
      </c>
      <c r="E12" s="9" t="str">
        <f>'All scales all studies'!T65</f>
        <v>X</v>
      </c>
      <c r="F12" s="9" t="str">
        <f>'All scales all studies'!U65</f>
        <v>X</v>
      </c>
      <c r="G12" s="9" t="str">
        <f>'All scales all studies'!V65</f>
        <v>X</v>
      </c>
    </row>
    <row r="13" spans="1:7">
      <c r="A13" t="str">
        <f>'All scales all studies'!A66</f>
        <v>How often do you feel able to cope with problems (last month)</v>
      </c>
      <c r="B13" t="str">
        <f>'All scales all studies'!K66</f>
        <v>X</v>
      </c>
      <c r="C13" s="9" t="str">
        <f>'All scales all studies'!R66</f>
        <v>X</v>
      </c>
      <c r="D13" s="9" t="str">
        <f>'All scales all studies'!S66</f>
        <v>X</v>
      </c>
      <c r="E13" s="9">
        <f>'All scales all studies'!T66</f>
        <v>0</v>
      </c>
      <c r="F13" s="9" t="str">
        <f>'All scales all studies'!U66</f>
        <v>X</v>
      </c>
      <c r="G13" s="9" t="str">
        <f>'All scales all studies'!V66</f>
        <v>X</v>
      </c>
    </row>
    <row r="14" spans="1:7">
      <c r="A14" t="str">
        <f>'All scales all studies'!A69</f>
        <v>Health affects activities/activity level</v>
      </c>
      <c r="B14" t="str">
        <f>'All scales all studies'!K69</f>
        <v>X</v>
      </c>
      <c r="C14" s="9" t="str">
        <f>'All scales all studies'!R69</f>
        <v>X</v>
      </c>
      <c r="D14" s="9">
        <f>'All scales all studies'!S69</f>
        <v>0</v>
      </c>
      <c r="E14" s="9" t="str">
        <f>'All scales all studies'!T69</f>
        <v>X</v>
      </c>
      <c r="F14" s="9" t="str">
        <f>'All scales all studies'!U69</f>
        <v>X</v>
      </c>
      <c r="G14" s="9">
        <f>'All scales all studies'!V69</f>
        <v>0</v>
      </c>
    </row>
    <row r="15" spans="1:7">
      <c r="A15" t="str">
        <f>'All scales all studies'!A70</f>
        <v>Pain interferes with ability to work</v>
      </c>
      <c r="B15" t="str">
        <f>'All scales all studies'!K70</f>
        <v>X</v>
      </c>
      <c r="C15" s="9" t="str">
        <f>'All scales all studies'!R70</f>
        <v>X</v>
      </c>
      <c r="D15" s="9">
        <f>'All scales all studies'!S70</f>
        <v>0</v>
      </c>
      <c r="E15" s="9" t="str">
        <f>'All scales all studies'!T70</f>
        <v>X</v>
      </c>
      <c r="F15" s="9">
        <f>'All scales all studies'!U70</f>
        <v>0</v>
      </c>
      <c r="G15" s="9">
        <f>'All scales all studies'!V70</f>
        <v>0</v>
      </c>
    </row>
    <row r="16" spans="1:7">
      <c r="A16" t="str">
        <f>'All scales all studies'!A71</f>
        <v>Physical/emotional probs affect social activities</v>
      </c>
      <c r="B16" t="str">
        <f>'All scales all studies'!K71</f>
        <v>X</v>
      </c>
      <c r="C16" s="9" t="str">
        <f>'All scales all studies'!R71</f>
        <v>X</v>
      </c>
      <c r="D16" s="9">
        <f>'All scales all studies'!S71</f>
        <v>0</v>
      </c>
      <c r="E16" s="9" t="str">
        <f>'All scales all studies'!T71</f>
        <v>X</v>
      </c>
      <c r="F16" s="9" t="str">
        <f>'All scales all studies'!U71</f>
        <v>X</v>
      </c>
      <c r="G16" s="9">
        <f>'All scales all studies'!V71</f>
        <v>0</v>
      </c>
    </row>
    <row r="17" spans="1:7">
      <c r="A17" t="str">
        <f>'All scales all studies'!A73</f>
        <v>DM</v>
      </c>
      <c r="B17" t="str">
        <f>'All scales all studies'!K73</f>
        <v>X</v>
      </c>
      <c r="C17" s="9" t="str">
        <f>'All scales all studies'!R73</f>
        <v>X</v>
      </c>
      <c r="D17" s="9" t="str">
        <f>'All scales all studies'!S73</f>
        <v>X</v>
      </c>
      <c r="E17" s="9" t="str">
        <f>'All scales all studies'!T73</f>
        <v>X</v>
      </c>
      <c r="F17" s="9" t="str">
        <f>'All scales all studies'!U73</f>
        <v>X</v>
      </c>
      <c r="G17" s="9" t="str">
        <f>'All scales all studies'!V73</f>
        <v>X</v>
      </c>
    </row>
    <row r="18" spans="1:7">
      <c r="A18" t="str">
        <f>'All scales all studies'!A74</f>
        <v>HTN</v>
      </c>
      <c r="B18" t="str">
        <f>'All scales all studies'!K74</f>
        <v>X</v>
      </c>
      <c r="C18" s="9" t="str">
        <f>'All scales all studies'!R74</f>
        <v>X</v>
      </c>
      <c r="D18" s="9" t="str">
        <f>'All scales all studies'!S74</f>
        <v>X</v>
      </c>
      <c r="E18" s="9" t="str">
        <f>'All scales all studies'!T74</f>
        <v>X</v>
      </c>
      <c r="F18" s="9" t="str">
        <f>'All scales all studies'!U74</f>
        <v>X</v>
      </c>
      <c r="G18" s="9" t="str">
        <f>'All scales all studies'!V74</f>
        <v>X</v>
      </c>
    </row>
    <row r="19" spans="1:7">
      <c r="A19" t="str">
        <f>'All scales all studies'!A75</f>
        <v>COPD</v>
      </c>
      <c r="B19" t="str">
        <f>'All scales all studies'!K75</f>
        <v>X</v>
      </c>
      <c r="C19" s="9" t="str">
        <f>'All scales all studies'!R75</f>
        <v>X</v>
      </c>
      <c r="D19" s="9" t="str">
        <f>'All scales all studies'!S75</f>
        <v>X</v>
      </c>
      <c r="E19" s="9" t="str">
        <f>'All scales all studies'!T75</f>
        <v>X</v>
      </c>
      <c r="F19" s="9" t="str">
        <f>'All scales all studies'!U75</f>
        <v>X</v>
      </c>
      <c r="G19" s="9" t="str">
        <f>'All scales all studies'!V75</f>
        <v>X</v>
      </c>
    </row>
    <row r="20" spans="1:7">
      <c r="A20" t="str">
        <f>'All scales all studies'!A76</f>
        <v>Asthma</v>
      </c>
      <c r="B20" t="str">
        <f>'All scales all studies'!K76</f>
        <v>X</v>
      </c>
      <c r="C20" s="9" t="str">
        <f>'All scales all studies'!R76</f>
        <v>X</v>
      </c>
      <c r="D20" s="9" t="str">
        <f>'All scales all studies'!S76</f>
        <v>X</v>
      </c>
      <c r="E20" s="9" t="str">
        <f>'All scales all studies'!T76</f>
        <v>X</v>
      </c>
      <c r="F20" s="9" t="str">
        <f>'All scales all studies'!U76</f>
        <v>X</v>
      </c>
      <c r="G20" s="9" t="str">
        <f>'All scales all studies'!V76</f>
        <v>X</v>
      </c>
    </row>
    <row r="21" spans="1:7">
      <c r="A21" t="str">
        <f>'All scales all studies'!A77</f>
        <v>DJD</v>
      </c>
      <c r="B21" t="str">
        <f>'All scales all studies'!K77</f>
        <v>X</v>
      </c>
      <c r="C21" s="9" t="str">
        <f>'All scales all studies'!R77</f>
        <v>X</v>
      </c>
      <c r="D21" s="9" t="str">
        <f>'All scales all studies'!S77</f>
        <v>X</v>
      </c>
      <c r="E21" s="9" t="str">
        <f>'All scales all studies'!T77</f>
        <v>X</v>
      </c>
      <c r="F21" s="9">
        <f>'All scales all studies'!U77</f>
        <v>0</v>
      </c>
      <c r="G21" s="9" t="str">
        <f>'All scales all studies'!V77</f>
        <v>X</v>
      </c>
    </row>
    <row r="22" spans="1:7">
      <c r="A22" t="str">
        <f>'All scales all studies'!A78</f>
        <v>CKD</v>
      </c>
      <c r="B22" t="str">
        <f>'All scales all studies'!K78</f>
        <v>X</v>
      </c>
      <c r="C22" s="9" t="str">
        <f>'All scales all studies'!R78</f>
        <v>X</v>
      </c>
      <c r="D22" s="9" t="str">
        <f>'All scales all studies'!S78</f>
        <v>X</v>
      </c>
      <c r="E22" s="9" t="str">
        <f>'All scales all studies'!T78</f>
        <v>X</v>
      </c>
      <c r="F22" s="9" t="str">
        <f>'All scales all studies'!U78</f>
        <v>X</v>
      </c>
      <c r="G22" s="9" t="str">
        <f>'All scales all studies'!V78</f>
        <v>X</v>
      </c>
    </row>
    <row r="23" spans="1:7">
      <c r="A23" t="str">
        <f>'All scales all studies'!A79</f>
        <v>CHF</v>
      </c>
      <c r="B23" t="str">
        <f>'All scales all studies'!K79</f>
        <v>X</v>
      </c>
      <c r="C23" s="9" t="str">
        <f>'All scales all studies'!R79</f>
        <v>X</v>
      </c>
      <c r="D23" s="9" t="str">
        <f>'All scales all studies'!S79</f>
        <v>X</v>
      </c>
      <c r="E23" s="9" t="str">
        <f>'All scales all studies'!T79</f>
        <v>X</v>
      </c>
      <c r="F23" s="9" t="str">
        <f>'All scales all studies'!U79</f>
        <v>X</v>
      </c>
      <c r="G23" s="9" t="str">
        <f>'All scales all studies'!V79</f>
        <v>X</v>
      </c>
    </row>
    <row r="24" spans="1:7">
      <c r="A24" t="str">
        <f>'All scales all studies'!A80</f>
        <v>CAD</v>
      </c>
      <c r="B24" t="str">
        <f>'All scales all studies'!K80</f>
        <v>X</v>
      </c>
      <c r="C24" s="9" t="str">
        <f>'All scales all studies'!R80</f>
        <v>X</v>
      </c>
      <c r="D24" s="9" t="str">
        <f>'All scales all studies'!S80</f>
        <v>X</v>
      </c>
      <c r="E24" s="9" t="str">
        <f>'All scales all studies'!T80</f>
        <v>X</v>
      </c>
      <c r="F24" s="9" t="str">
        <f>'All scales all studies'!U80</f>
        <v>X</v>
      </c>
      <c r="G24" s="9" t="str">
        <f>'All scales all studies'!V80</f>
        <v>X</v>
      </c>
    </row>
    <row r="25" spans="1:7">
      <c r="A25" t="str">
        <f>'All scales all studies'!A81</f>
        <v>CVA</v>
      </c>
      <c r="B25" t="str">
        <f>'All scales all studies'!K81</f>
        <v>X</v>
      </c>
      <c r="C25" s="9" t="str">
        <f>'All scales all studies'!R81</f>
        <v>X</v>
      </c>
      <c r="D25" s="9" t="str">
        <f>'All scales all studies'!S81</f>
        <v>X</v>
      </c>
      <c r="E25" s="9" t="str">
        <f>'All scales all studies'!T81</f>
        <v>X</v>
      </c>
      <c r="F25" s="9" t="str">
        <f>'All scales all studies'!U81</f>
        <v>X</v>
      </c>
      <c r="G25" s="9" t="str">
        <f>'All scales all studies'!V81</f>
        <v>X</v>
      </c>
    </row>
    <row r="26" spans="1:7">
      <c r="A26" t="str">
        <f>'All scales all studies'!A82</f>
        <v>Cancer</v>
      </c>
      <c r="B26" t="str">
        <f>'All scales all studies'!K82</f>
        <v>X</v>
      </c>
      <c r="C26" s="9" t="str">
        <f>'All scales all studies'!R82</f>
        <v>X</v>
      </c>
      <c r="D26" s="9" t="str">
        <f>'All scales all studies'!S82</f>
        <v>X</v>
      </c>
      <c r="E26" s="9" t="str">
        <f>'All scales all studies'!T82</f>
        <v>X</v>
      </c>
      <c r="F26" s="9" t="str">
        <f>'All scales all studies'!U82</f>
        <v>X</v>
      </c>
      <c r="G26" s="9" t="str">
        <f>'All scales all studies'!V82</f>
        <v>X</v>
      </c>
    </row>
    <row r="27" spans="1:7">
      <c r="A27" t="str">
        <f>'All scales all studies'!A83</f>
        <v>Fracture (osteoporosis)</v>
      </c>
      <c r="B27" t="str">
        <f>'All scales all studies'!K83</f>
        <v>X</v>
      </c>
      <c r="C27" s="9" t="str">
        <f>'All scales all studies'!R83</f>
        <v>X</v>
      </c>
      <c r="D27" s="9" t="str">
        <f>'All scales all studies'!S83</f>
        <v>X</v>
      </c>
      <c r="E27" s="9" t="str">
        <f>'All scales all studies'!T83</f>
        <v>X</v>
      </c>
      <c r="F27" s="9">
        <f>'All scales all studies'!U83</f>
        <v>0</v>
      </c>
      <c r="G27" s="9">
        <f>'All scales all studies'!V83</f>
        <v>0</v>
      </c>
    </row>
    <row r="28" spans="1:7">
      <c r="A28" t="str">
        <f>'All scales all studies'!A85</f>
        <v>Dressing</v>
      </c>
      <c r="B28" t="str">
        <f>'All scales all studies'!K85</f>
        <v>X</v>
      </c>
      <c r="C28" s="9" t="str">
        <f>'All scales all studies'!R85</f>
        <v>X</v>
      </c>
      <c r="D28" s="9" t="str">
        <f>'All scales all studies'!S85</f>
        <v>X</v>
      </c>
      <c r="E28" s="9" t="str">
        <f>'All scales all studies'!T85</f>
        <v>X</v>
      </c>
      <c r="F28" s="9">
        <f>'All scales all studies'!U85</f>
        <v>0</v>
      </c>
      <c r="G28" s="9">
        <f>'All scales all studies'!V85</f>
        <v>0</v>
      </c>
    </row>
    <row r="29" spans="1:7">
      <c r="A29" t="str">
        <f>'All scales all studies'!A86</f>
        <v>Bathing</v>
      </c>
      <c r="B29" t="str">
        <f>'All scales all studies'!K86</f>
        <v>X</v>
      </c>
      <c r="C29" s="9" t="str">
        <f>'All scales all studies'!R86</f>
        <v>X</v>
      </c>
      <c r="D29" s="9" t="str">
        <f>'All scales all studies'!S86</f>
        <v>X</v>
      </c>
      <c r="E29" s="9" t="str">
        <f>'All scales all studies'!T86</f>
        <v>X</v>
      </c>
      <c r="F29" s="9">
        <f>'All scales all studies'!U86</f>
        <v>0</v>
      </c>
      <c r="G29" s="9">
        <f>'All scales all studies'!V86</f>
        <v>0</v>
      </c>
    </row>
    <row r="30" spans="1:7">
      <c r="A30" t="str">
        <f>'All scales all studies'!A87</f>
        <v>Transferring</v>
      </c>
      <c r="B30" t="str">
        <f>'All scales all studies'!K87</f>
        <v>X</v>
      </c>
      <c r="C30" s="9" t="str">
        <f>'All scales all studies'!R87</f>
        <v>X</v>
      </c>
      <c r="D30" s="9" t="str">
        <f>'All scales all studies'!S87</f>
        <v>X</v>
      </c>
      <c r="E30" s="9" t="str">
        <f>'All scales all studies'!T87</f>
        <v>X</v>
      </c>
      <c r="F30" s="9">
        <f>'All scales all studies'!U87</f>
        <v>0</v>
      </c>
      <c r="G30" s="9">
        <f>'All scales all studies'!V87</f>
        <v>0</v>
      </c>
    </row>
    <row r="31" spans="1:7">
      <c r="A31" t="str">
        <f>'All scales all studies'!A88</f>
        <v>Toileting</v>
      </c>
      <c r="B31" t="str">
        <f>'All scales all studies'!K88</f>
        <v>X</v>
      </c>
      <c r="C31" s="9">
        <f>'All scales all studies'!R88</f>
        <v>0</v>
      </c>
      <c r="D31" s="9" t="str">
        <f>'All scales all studies'!S88</f>
        <v>X</v>
      </c>
      <c r="E31" s="9" t="str">
        <f>'All scales all studies'!T88</f>
        <v>X</v>
      </c>
      <c r="F31" s="9">
        <f>'All scales all studies'!U88</f>
        <v>0</v>
      </c>
      <c r="G31" s="9">
        <f>'All scales all studies'!V88</f>
        <v>0</v>
      </c>
    </row>
    <row r="32" spans="1:7">
      <c r="A32" t="str">
        <f>'All scales all studies'!A92</f>
        <v>Able to do heavy work around the house</v>
      </c>
      <c r="B32" t="str">
        <f>'All scales all studies'!K92</f>
        <v>X</v>
      </c>
      <c r="C32" s="9" t="str">
        <f>'All scales all studies'!R92</f>
        <v>X</v>
      </c>
      <c r="D32" s="9" t="str">
        <f>'All scales all studies'!S92</f>
        <v>X</v>
      </c>
      <c r="E32" s="9" t="str">
        <f>'All scales all studies'!T92</f>
        <v>X</v>
      </c>
      <c r="F32" s="9" t="str">
        <f>'All scales all studies'!U92</f>
        <v>X</v>
      </c>
      <c r="G32" s="9" t="str">
        <f>'All scales all studies'!V92</f>
        <v>X</v>
      </c>
    </row>
    <row r="33" spans="1:7">
      <c r="A33" t="str">
        <f>'All scales all studies'!A95</f>
        <v>MMSE</v>
      </c>
      <c r="B33" t="str">
        <f>'All scales all studies'!K95</f>
        <v>X</v>
      </c>
      <c r="C33" s="9" t="str">
        <f>'All scales all studies'!R95</f>
        <v>X</v>
      </c>
      <c r="D33" s="9" t="str">
        <f>'All scales all studies'!S95</f>
        <v>X</v>
      </c>
      <c r="E33" s="9" t="str">
        <f>'All scales all studies'!T95</f>
        <v>X</v>
      </c>
      <c r="F33" s="9">
        <f>'All scales all studies'!U95</f>
        <v>0</v>
      </c>
      <c r="G33" s="9" t="str">
        <f>'All scales all studies'!V95</f>
        <v>CASI</v>
      </c>
    </row>
    <row r="34" spans="1:7">
      <c r="A34" t="str">
        <f>'All scales all studies'!A97</f>
        <v>Nursing home</v>
      </c>
      <c r="B34" t="str">
        <f>'All scales all studies'!K97</f>
        <v>X</v>
      </c>
      <c r="C34" s="9" t="str">
        <f>'All scales all studies'!R97</f>
        <v>X</v>
      </c>
      <c r="D34" s="9" t="str">
        <f>'All scales all studies'!S97</f>
        <v>X</v>
      </c>
      <c r="E34" s="9" t="str">
        <f>'All scales all studies'!T97</f>
        <v>X</v>
      </c>
      <c r="F34" s="9" t="str">
        <f>'All scales all studies'!U97</f>
        <v>X</v>
      </c>
      <c r="G34" s="9">
        <f>'All scales all studies'!V97</f>
        <v>0</v>
      </c>
    </row>
    <row r="35" spans="1:7">
      <c r="C35" s="3">
        <f>COUNTIF(C2:C34,"X")/COUNTIF($B2:$B34,"X")</f>
        <v>0.96969696969696972</v>
      </c>
      <c r="D35" s="3">
        <f t="shared" ref="D35:G35" si="0">COUNTIF(D2:D34,"X")/COUNTIF($B2:$B34,"X")</f>
        <v>0.90909090909090906</v>
      </c>
      <c r="E35" s="3">
        <f t="shared" si="0"/>
        <v>0.96969696969696972</v>
      </c>
      <c r="F35" s="3">
        <f t="shared" si="0"/>
        <v>0.66666666666666663</v>
      </c>
      <c r="G35" s="3">
        <f t="shared" si="0"/>
        <v>0.5757575757575758</v>
      </c>
    </row>
  </sheetData>
  <conditionalFormatting sqref="C2:G34">
    <cfRule type="cellIs" dxfId="7" priority="1" operator="equal">
      <formula>0</formula>
    </cfRule>
    <cfRule type="cellIs" dxfId="6" priority="2" operator="equal">
      <formula>"X"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D65B-4C9D-A149-A193-7F6ABE8A6B32}">
  <dimension ref="A1:G16"/>
  <sheetViews>
    <sheetView workbookViewId="0">
      <selection activeCell="B1" sqref="B1:B1048576"/>
    </sheetView>
  </sheetViews>
  <sheetFormatPr baseColWidth="10" defaultRowHeight="16"/>
  <cols>
    <col min="1" max="1" width="54.6640625" customWidth="1"/>
    <col min="2" max="2" width="4" hidden="1" customWidth="1"/>
  </cols>
  <sheetData>
    <row r="1" spans="1:7"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studies'!A10</f>
        <v>Misses people/lonely</v>
      </c>
      <c r="B2" t="str">
        <f>'All scales all studies'!O10</f>
        <v>X</v>
      </c>
      <c r="C2" s="9" t="str">
        <f>'All scales all studies'!R10</f>
        <v>X</v>
      </c>
      <c r="D2" s="9" t="str">
        <f>'All scales all studies'!S10</f>
        <v>X</v>
      </c>
      <c r="E2" s="9" t="str">
        <f>'All scales all studies'!T10</f>
        <v>X</v>
      </c>
      <c r="F2" s="9" t="str">
        <f>'All scales all studies'!U10</f>
        <v>X</v>
      </c>
      <c r="G2" s="9" t="str">
        <f>'All scales all studies'!V10</f>
        <v>X</v>
      </c>
    </row>
    <row r="3" spans="1:7">
      <c r="A3" t="str">
        <f>'All scales all studies'!A19</f>
        <v>Receives enough support from others</v>
      </c>
      <c r="B3" t="str">
        <f>'All scales all studies'!O19</f>
        <v>X</v>
      </c>
      <c r="C3" s="9">
        <f>'All scales all studies'!R19</f>
        <v>0</v>
      </c>
      <c r="D3" s="9">
        <f>'All scales all studies'!S19</f>
        <v>0</v>
      </c>
      <c r="E3" s="9">
        <f>'All scales all studies'!T19</f>
        <v>0</v>
      </c>
      <c r="F3" s="9" t="str">
        <f>'All scales all studies'!U19</f>
        <v>X</v>
      </c>
      <c r="G3" s="9">
        <f>'All scales all studies'!V19</f>
        <v>0</v>
      </c>
    </row>
    <row r="4" spans="1:7">
      <c r="A4" t="str">
        <f>'All scales all studies'!A39</f>
        <v>Lives alone</v>
      </c>
      <c r="B4" t="str">
        <f>'All scales all studies'!O39</f>
        <v>X</v>
      </c>
      <c r="C4" s="9" t="str">
        <f>'All scales all studies'!R39</f>
        <v>X</v>
      </c>
      <c r="D4" s="9" t="str">
        <f>'All scales all studies'!S39</f>
        <v>X</v>
      </c>
      <c r="E4" s="9" t="str">
        <f>'All scales all studies'!T39</f>
        <v>X</v>
      </c>
      <c r="F4" s="9" t="str">
        <f>'All scales all studies'!U39</f>
        <v>X</v>
      </c>
      <c r="G4" s="9">
        <f>'All scales all studies'!V39</f>
        <v>0</v>
      </c>
    </row>
    <row r="5" spans="1:7">
      <c r="A5" t="str">
        <f>'All scales all studies'!A43</f>
        <v>Feel physically healthy</v>
      </c>
      <c r="B5" t="str">
        <f>'All scales all studies'!O43</f>
        <v>X</v>
      </c>
      <c r="C5" s="9" t="str">
        <f>'All scales all studies'!R43</f>
        <v>X</v>
      </c>
      <c r="D5" s="9" t="str">
        <f>'All scales all studies'!S43</f>
        <v>X</v>
      </c>
      <c r="E5" s="9" t="str">
        <f>'All scales all studies'!T43</f>
        <v>X</v>
      </c>
      <c r="F5" s="9" t="str">
        <f>'All scales all studies'!U43</f>
        <v>X</v>
      </c>
      <c r="G5" s="9" t="str">
        <f>'All scales all studies'!V43</f>
        <v>X</v>
      </c>
    </row>
    <row r="6" spans="1:7">
      <c r="A6" t="str">
        <f>'All scales all studies'!A46</f>
        <v>Has poor vision</v>
      </c>
      <c r="B6" t="str">
        <f>'All scales all studies'!O46</f>
        <v>X</v>
      </c>
      <c r="C6" s="9" t="str">
        <f>'All scales all studies'!R46</f>
        <v>X</v>
      </c>
      <c r="D6" s="9" t="str">
        <f>'All scales all studies'!S46</f>
        <v>X</v>
      </c>
      <c r="E6" s="9" t="str">
        <f>'All scales all studies'!T46</f>
        <v>X</v>
      </c>
      <c r="F6" s="9">
        <f>'All scales all studies'!U46</f>
        <v>0</v>
      </c>
      <c r="G6" s="9">
        <f>'All scales all studies'!V46</f>
        <v>0</v>
      </c>
    </row>
    <row r="7" spans="1:7">
      <c r="A7" t="str">
        <f>'All scales all studies'!A47</f>
        <v>Has poor hearing</v>
      </c>
      <c r="B7" t="str">
        <f>'All scales all studies'!O47</f>
        <v>X</v>
      </c>
      <c r="C7" s="9" t="str">
        <f>'All scales all studies'!R47</f>
        <v>X</v>
      </c>
      <c r="D7" s="9" t="str">
        <f>'All scales all studies'!S47</f>
        <v>X</v>
      </c>
      <c r="E7" s="9" t="str">
        <f>'All scales all studies'!T47</f>
        <v>X</v>
      </c>
      <c r="F7" s="9">
        <f>'All scales all studies'!U47</f>
        <v>0</v>
      </c>
      <c r="G7" s="9">
        <f>'All scales all studies'!V47</f>
        <v>0</v>
      </c>
    </row>
    <row r="8" spans="1:7">
      <c r="A8" t="str">
        <f>'All scales all studies'!A50</f>
        <v>Has difficulty walking (self-report)</v>
      </c>
      <c r="B8" t="str">
        <f>'All scales all studies'!O50</f>
        <v>X</v>
      </c>
      <c r="C8" s="9" t="str">
        <f>'All scales all studies'!R50</f>
        <v>X</v>
      </c>
      <c r="D8" s="9" t="str">
        <f>'All scales all studies'!S50</f>
        <v>X</v>
      </c>
      <c r="E8" s="9" t="str">
        <f>'All scales all studies'!T50</f>
        <v>X</v>
      </c>
      <c r="F8" s="9" t="str">
        <f>'All scales all studies'!U50</f>
        <v>X</v>
      </c>
      <c r="G8" s="9">
        <f>'All scales all studies'!V50</f>
        <v>0</v>
      </c>
    </row>
    <row r="9" spans="1:7">
      <c r="A9" t="str">
        <f>'All scales all studies'!A51</f>
        <v>Has difficulty w balance (self-report)</v>
      </c>
      <c r="B9" t="str">
        <f>'All scales all studies'!O51</f>
        <v>X</v>
      </c>
      <c r="C9" s="9" t="str">
        <f>'All scales all studies'!R51</f>
        <v>X</v>
      </c>
      <c r="D9" s="9" t="str">
        <f>'All scales all studies'!S51</f>
        <v>X</v>
      </c>
      <c r="E9" s="9" t="str">
        <f>'All scales all studies'!T51</f>
        <v>X</v>
      </c>
      <c r="F9" s="9">
        <f>'All scales all studies'!U51</f>
        <v>0</v>
      </c>
      <c r="G9" s="9">
        <f>'All scales all studies'!V51</f>
        <v>0</v>
      </c>
    </row>
    <row r="10" spans="1:7">
      <c r="A10" t="str">
        <f>'All scales all studies'!A56</f>
        <v>Grip strength (measured)</v>
      </c>
      <c r="B10" t="str">
        <f>'All scales all studies'!O56</f>
        <v>X</v>
      </c>
      <c r="C10" s="9" t="str">
        <f>'All scales all studies'!R56</f>
        <v>X</v>
      </c>
      <c r="D10" s="9" t="str">
        <f>'All scales all studies'!S56</f>
        <v>X</v>
      </c>
      <c r="E10" s="9" t="str">
        <f>'All scales all studies'!T56</f>
        <v>X</v>
      </c>
      <c r="F10" s="9">
        <f>'All scales all studies'!U56</f>
        <v>0</v>
      </c>
      <c r="G10" s="9">
        <f>'All scales all studies'!V56</f>
        <v>0</v>
      </c>
    </row>
    <row r="11" spans="1:7">
      <c r="A11" t="str">
        <f>'All scales all studies'!A59</f>
        <v>Weight loss in past year</v>
      </c>
      <c r="B11" t="str">
        <f>'All scales all studies'!O59</f>
        <v>X</v>
      </c>
      <c r="C11" s="9" t="str">
        <f>'All scales all studies'!R59</f>
        <v>X</v>
      </c>
      <c r="D11" s="9" t="str">
        <f>'All scales all studies'!S59</f>
        <v>X</v>
      </c>
      <c r="E11" s="9" t="str">
        <f>'All scales all studies'!T59</f>
        <v>X</v>
      </c>
      <c r="F11" s="9" t="str">
        <f>'All scales all studies'!U59</f>
        <v>X</v>
      </c>
      <c r="G11" s="9" t="str">
        <f>'All scales all studies'!V59</f>
        <v>X</v>
      </c>
    </row>
    <row r="12" spans="1:7">
      <c r="A12" t="str">
        <f>'All scales all studies'!A64</f>
        <v>Felt down (last month)</v>
      </c>
      <c r="B12" t="str">
        <f>'All scales all studies'!O64</f>
        <v>X</v>
      </c>
      <c r="C12" s="9" t="str">
        <f>'All scales all studies'!R64</f>
        <v>X</v>
      </c>
      <c r="D12" s="9" t="str">
        <f>'All scales all studies'!S64</f>
        <v>X</v>
      </c>
      <c r="E12" s="9" t="str">
        <f>'All scales all studies'!T64</f>
        <v>X</v>
      </c>
      <c r="F12" s="9" t="str">
        <f>'All scales all studies'!U64</f>
        <v>X</v>
      </c>
      <c r="G12" s="9" t="str">
        <f>'All scales all studies'!V64</f>
        <v>X</v>
      </c>
    </row>
    <row r="13" spans="1:7">
      <c r="A13" t="str">
        <f>'All scales all studies'!A65</f>
        <v>Felt nervous/anxious (last month)</v>
      </c>
      <c r="B13" t="str">
        <f>'All scales all studies'!O65</f>
        <v>X</v>
      </c>
      <c r="C13" s="9" t="str">
        <f>'All scales all studies'!R65</f>
        <v>X</v>
      </c>
      <c r="D13" s="9" t="str">
        <f>'All scales all studies'!S65</f>
        <v>X</v>
      </c>
      <c r="E13" s="9" t="str">
        <f>'All scales all studies'!T65</f>
        <v>X</v>
      </c>
      <c r="F13" s="9" t="str">
        <f>'All scales all studies'!U65</f>
        <v>X</v>
      </c>
      <c r="G13" s="9" t="str">
        <f>'All scales all studies'!V65</f>
        <v>X</v>
      </c>
    </row>
    <row r="14" spans="1:7">
      <c r="A14" t="str">
        <f>'All scales all studies'!A66</f>
        <v>How often do you feel able to cope with problems (last month)</v>
      </c>
      <c r="B14" t="str">
        <f>'All scales all studies'!O66</f>
        <v>X</v>
      </c>
      <c r="C14" s="9" t="str">
        <f>'All scales all studies'!R66</f>
        <v>X</v>
      </c>
      <c r="D14" s="9" t="str">
        <f>'All scales all studies'!S66</f>
        <v>X</v>
      </c>
      <c r="E14" s="9">
        <f>'All scales all studies'!T66</f>
        <v>0</v>
      </c>
      <c r="F14" s="9" t="str">
        <f>'All scales all studies'!U66</f>
        <v>X</v>
      </c>
      <c r="G14" s="9" t="str">
        <f>'All scales all studies'!V66</f>
        <v>X</v>
      </c>
    </row>
    <row r="15" spans="1:7">
      <c r="A15" t="str">
        <f>'All scales all studies'!A94</f>
        <v>Memory problems (self-report)</v>
      </c>
      <c r="B15" t="str">
        <f>'All scales all studies'!O94</f>
        <v>X</v>
      </c>
      <c r="C15" s="9" t="str">
        <f>'All scales all studies'!R94</f>
        <v>X</v>
      </c>
      <c r="D15" s="9" t="str">
        <f>'All scales all studies'!S94</f>
        <v>X</v>
      </c>
      <c r="E15" s="9" t="str">
        <f>'All scales all studies'!T94</f>
        <v>X</v>
      </c>
      <c r="F15" s="9">
        <f>'All scales all studies'!U94</f>
        <v>0</v>
      </c>
      <c r="G15" s="9">
        <f>'All scales all studies'!V94</f>
        <v>0</v>
      </c>
    </row>
    <row r="16" spans="1:7">
      <c r="C16" s="10">
        <f>COUNTIF(C2:C15,"X")/COUNTIF($B2:$B15,"X")</f>
        <v>0.9285714285714286</v>
      </c>
      <c r="D16" s="10">
        <f t="shared" ref="D16:G16" si="0">COUNTIF(D2:D15,"X")/COUNTIF($B2:$B15,"X")</f>
        <v>0.9285714285714286</v>
      </c>
      <c r="E16" s="10">
        <f t="shared" si="0"/>
        <v>0.8571428571428571</v>
      </c>
      <c r="F16" s="10">
        <f t="shared" si="0"/>
        <v>0.6428571428571429</v>
      </c>
      <c r="G16" s="10">
        <f t="shared" si="0"/>
        <v>0.42857142857142855</v>
      </c>
    </row>
  </sheetData>
  <conditionalFormatting sqref="C2:G15">
    <cfRule type="cellIs" dxfId="5" priority="1" operator="equal">
      <formula>0</formula>
    </cfRule>
    <cfRule type="cellIs" dxfId="4" priority="2" operator="equal">
      <formula>"X"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9023-8784-1245-8182-0AC769BEAAE7}">
  <dimension ref="A1:G13"/>
  <sheetViews>
    <sheetView workbookViewId="0">
      <selection activeCell="C13" sqref="C13"/>
    </sheetView>
  </sheetViews>
  <sheetFormatPr baseColWidth="10" defaultRowHeight="16"/>
  <cols>
    <col min="1" max="1" width="45.33203125" customWidth="1"/>
    <col min="2" max="2" width="0" hidden="1" customWidth="1"/>
  </cols>
  <sheetData>
    <row r="1" spans="1:7"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studies'!A43</f>
        <v>Feel physically healthy</v>
      </c>
      <c r="B2" t="str">
        <f>'All scales all studies'!N43</f>
        <v>X</v>
      </c>
      <c r="C2" s="9" t="str">
        <f>'All scales all studies'!R43</f>
        <v>X</v>
      </c>
      <c r="D2" s="9" t="str">
        <f>'All scales all studies'!S43</f>
        <v>X</v>
      </c>
      <c r="E2" s="9" t="str">
        <f>'All scales all studies'!T43</f>
        <v>X</v>
      </c>
      <c r="F2" s="9" t="str">
        <f>'All scales all studies'!U43</f>
        <v>X</v>
      </c>
      <c r="G2" s="9" t="str">
        <f>'All scales all studies'!V43</f>
        <v>X</v>
      </c>
    </row>
    <row r="3" spans="1:7">
      <c r="A3" t="str">
        <f>'All scales all studies'!A44</f>
        <v>Everything an effort (CESD)</v>
      </c>
      <c r="B3" t="str">
        <f>'All scales all studies'!N44</f>
        <v>X</v>
      </c>
      <c r="C3" s="9" t="str">
        <f>'All scales all studies'!R44</f>
        <v>X</v>
      </c>
      <c r="D3" s="9" t="str">
        <f>'All scales all studies'!S44</f>
        <v>X</v>
      </c>
      <c r="E3" s="9" t="str">
        <f>'All scales all studies'!T44</f>
        <v>X</v>
      </c>
      <c r="F3" s="9" t="str">
        <f>'All scales all studies'!U44</f>
        <v>X</v>
      </c>
      <c r="G3" s="9" t="str">
        <f>'All scales all studies'!V44</f>
        <v>X</v>
      </c>
    </row>
    <row r="4" spans="1:7">
      <c r="A4" t="str">
        <f>'All scales all studies'!A45</f>
        <v>Couldn't get going (CESD)</v>
      </c>
      <c r="B4" t="str">
        <f>'All scales all studies'!N45</f>
        <v>X</v>
      </c>
      <c r="C4" s="9" t="str">
        <f>'All scales all studies'!R45</f>
        <v>X</v>
      </c>
      <c r="D4" s="9" t="str">
        <f>'All scales all studies'!S45</f>
        <v>X</v>
      </c>
      <c r="E4" s="9" t="str">
        <f>'All scales all studies'!T45</f>
        <v>X</v>
      </c>
      <c r="F4" s="9" t="str">
        <f>'All scales all studies'!U45</f>
        <v>X</v>
      </c>
      <c r="G4" s="9" t="str">
        <f>'All scales all studies'!V45</f>
        <v>X</v>
      </c>
    </row>
    <row r="5" spans="1:7">
      <c r="A5" t="str">
        <f>'All scales all studies'!A59</f>
        <v>Weight loss in past year</v>
      </c>
      <c r="B5" t="str">
        <f>'All scales all studies'!N59</f>
        <v>X</v>
      </c>
      <c r="C5" s="9" t="str">
        <f>'All scales all studies'!R59</f>
        <v>X</v>
      </c>
      <c r="D5" s="9" t="str">
        <f>'All scales all studies'!S59</f>
        <v>X</v>
      </c>
      <c r="E5" s="9" t="str">
        <f>'All scales all studies'!T59</f>
        <v>X</v>
      </c>
      <c r="F5" s="9" t="str">
        <f>'All scales all studies'!U59</f>
        <v>X</v>
      </c>
      <c r="G5" s="9" t="str">
        <f>'All scales all studies'!V59</f>
        <v>X</v>
      </c>
    </row>
    <row r="6" spans="1:7">
      <c r="A6" t="str">
        <f>'All scales all studies'!A60</f>
        <v>Poor appetite</v>
      </c>
      <c r="B6" t="str">
        <f>'All scales all studies'!N60</f>
        <v>X</v>
      </c>
      <c r="C6" s="9" t="str">
        <f>'All scales all studies'!R60</f>
        <v>X</v>
      </c>
      <c r="D6" s="9" t="str">
        <f>'All scales all studies'!S60</f>
        <v>X</v>
      </c>
      <c r="E6" s="9" t="str">
        <f>'All scales all studies'!T60</f>
        <v>X</v>
      </c>
      <c r="F6" s="9" t="str">
        <f>'All scales all studies'!U60</f>
        <v>X</v>
      </c>
      <c r="G6" s="9" t="str">
        <f>'All scales all studies'!V60</f>
        <v>X</v>
      </c>
    </row>
    <row r="7" spans="1:7">
      <c r="A7" t="str">
        <f>'All scales all studies'!A61</f>
        <v>Tooth/mouth problems affect eating</v>
      </c>
      <c r="B7" t="str">
        <f>'All scales all studies'!N61</f>
        <v>X</v>
      </c>
      <c r="C7" s="9" t="str">
        <f>'All scales all studies'!R61</f>
        <v>X</v>
      </c>
      <c r="D7" s="9" t="str">
        <f>'All scales all studies'!S61</f>
        <v>X</v>
      </c>
      <c r="E7" s="9">
        <f>'All scales all studies'!T61</f>
        <v>0</v>
      </c>
      <c r="F7" s="9">
        <f>'All scales all studies'!U61</f>
        <v>0</v>
      </c>
      <c r="G7" s="9" t="str">
        <f>'All scales all studies'!V61</f>
        <v>X</v>
      </c>
    </row>
    <row r="8" spans="1:7">
      <c r="A8" t="str">
        <f>'All scales all studies'!A71</f>
        <v>Physical/emotional probs affect social activities</v>
      </c>
      <c r="B8" t="str">
        <f>'All scales all studies'!N71</f>
        <v>X</v>
      </c>
      <c r="C8" s="9" t="str">
        <f>'All scales all studies'!R71</f>
        <v>X</v>
      </c>
      <c r="D8" s="9">
        <f>'All scales all studies'!S71</f>
        <v>0</v>
      </c>
      <c r="E8" s="9" t="str">
        <f>'All scales all studies'!T71</f>
        <v>X</v>
      </c>
      <c r="F8" s="9" t="str">
        <f>'All scales all studies'!U71</f>
        <v>X</v>
      </c>
      <c r="G8" s="9">
        <f>'All scales all studies'!V71</f>
        <v>0</v>
      </c>
    </row>
    <row r="9" spans="1:7">
      <c r="A9" t="str">
        <f>'All scales all studies'!A86</f>
        <v>Bathing</v>
      </c>
      <c r="B9" t="str">
        <f>'All scales all studies'!N86</f>
        <v>X</v>
      </c>
      <c r="C9" s="9" t="str">
        <f>'All scales all studies'!R86</f>
        <v>X</v>
      </c>
      <c r="D9" s="9" t="str">
        <f>'All scales all studies'!S86</f>
        <v>X</v>
      </c>
      <c r="E9" s="9" t="str">
        <f>'All scales all studies'!T86</f>
        <v>X</v>
      </c>
      <c r="F9" s="9">
        <f>'All scales all studies'!U86</f>
        <v>0</v>
      </c>
      <c r="G9" s="9">
        <f>'All scales all studies'!V86</f>
        <v>0</v>
      </c>
    </row>
    <row r="10" spans="1:7">
      <c r="A10" t="str">
        <f>'All scales all studies'!A87</f>
        <v>Transferring</v>
      </c>
      <c r="B10" t="str">
        <f>'All scales all studies'!N87</f>
        <v>X</v>
      </c>
      <c r="C10" s="9" t="str">
        <f>'All scales all studies'!R87</f>
        <v>X</v>
      </c>
      <c r="D10" s="9" t="str">
        <f>'All scales all studies'!S87</f>
        <v>X</v>
      </c>
      <c r="E10" s="9" t="str">
        <f>'All scales all studies'!T87</f>
        <v>X</v>
      </c>
      <c r="F10" s="9">
        <f>'All scales all studies'!U87</f>
        <v>0</v>
      </c>
      <c r="G10" s="9">
        <f>'All scales all studies'!V87</f>
        <v>0</v>
      </c>
    </row>
    <row r="11" spans="1:7">
      <c r="A11" t="str">
        <f>'All scales all studies'!A98</f>
        <v>Hospitalized last 3 months</v>
      </c>
      <c r="B11" t="str">
        <f>'All scales all studies'!N98</f>
        <v>X</v>
      </c>
      <c r="C11" s="9" t="str">
        <f>'All scales all studies'!R98</f>
        <v>X</v>
      </c>
      <c r="D11" s="9" t="str">
        <f>'All scales all studies'!S98</f>
        <v>X</v>
      </c>
      <c r="E11" s="9" t="str">
        <f>'All scales all studies'!T98</f>
        <v>X</v>
      </c>
      <c r="F11" s="9" t="str">
        <f>'All scales all studies'!U98</f>
        <v>X</v>
      </c>
      <c r="G11" s="9" t="str">
        <f>'All scales all studies'!V98</f>
        <v>X</v>
      </c>
    </row>
    <row r="12" spans="1:7">
      <c r="A12" t="str">
        <f>'All scales all studies'!A99</f>
        <v>ED in last 3 months</v>
      </c>
      <c r="B12" t="str">
        <f>'All scales all studies'!N99</f>
        <v>X</v>
      </c>
      <c r="C12" s="9">
        <f>'All scales all studies'!R99</f>
        <v>0</v>
      </c>
      <c r="D12" s="9">
        <f>'All scales all studies'!S99</f>
        <v>0</v>
      </c>
      <c r="E12" s="9" t="str">
        <f>'All scales all studies'!T99</f>
        <v>X</v>
      </c>
      <c r="F12" s="9" t="str">
        <f>'All scales all studies'!U99</f>
        <v>X</v>
      </c>
      <c r="G12" s="9">
        <f>'All scales all studies'!V99</f>
        <v>0</v>
      </c>
    </row>
    <row r="13" spans="1:7">
      <c r="C13" s="10">
        <f>COUNTIF(C2:C12,"X")/COUNTIF($B2:$B12,"X")</f>
        <v>0.90909090909090906</v>
      </c>
      <c r="D13" s="10">
        <f t="shared" ref="D13:G13" si="0">COUNTIF(D2:D12,"X")/COUNTIF($B2:$B12,"X")</f>
        <v>0.81818181818181823</v>
      </c>
      <c r="E13" s="10">
        <f t="shared" si="0"/>
        <v>0.90909090909090906</v>
      </c>
      <c r="F13" s="10">
        <f t="shared" si="0"/>
        <v>0.72727272727272729</v>
      </c>
      <c r="G13" s="10">
        <f t="shared" si="0"/>
        <v>0.63636363636363635</v>
      </c>
    </row>
  </sheetData>
  <conditionalFormatting sqref="C2:G12">
    <cfRule type="cellIs" dxfId="3" priority="1" operator="equal">
      <formula>0</formula>
    </cfRule>
    <cfRule type="cellIs" dxfId="2" priority="2" operator="equal">
      <formula>"X"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FC5F-34BD-C342-B592-CD1D285EB89E}">
  <dimension ref="A1:G13"/>
  <sheetViews>
    <sheetView workbookViewId="0">
      <selection activeCell="E4" sqref="E4"/>
    </sheetView>
  </sheetViews>
  <sheetFormatPr baseColWidth="10" defaultRowHeight="16"/>
  <cols>
    <col min="1" max="1" width="33.6640625" customWidth="1"/>
    <col min="2" max="2" width="0" hidden="1" customWidth="1"/>
  </cols>
  <sheetData>
    <row r="1" spans="1:7">
      <c r="B1" t="s">
        <v>152</v>
      </c>
      <c r="C1" s="9" t="s">
        <v>13</v>
      </c>
      <c r="D1" s="9" t="s">
        <v>0</v>
      </c>
      <c r="E1" s="9" t="s">
        <v>3</v>
      </c>
      <c r="F1" s="9" t="s">
        <v>17</v>
      </c>
      <c r="G1" s="9" t="s">
        <v>6</v>
      </c>
    </row>
    <row r="2" spans="1:7">
      <c r="A2" t="str">
        <f>'All scales all studies'!A52</f>
        <v>Able to walk up one flight (resistance)</v>
      </c>
      <c r="B2" t="str">
        <f>'All scales all studies'!L52</f>
        <v>X</v>
      </c>
      <c r="C2" s="9" t="str">
        <f>'All scales all studies'!R52</f>
        <v>X</v>
      </c>
      <c r="D2" s="9" t="str">
        <f>'All scales all studies'!S52</f>
        <v>X</v>
      </c>
      <c r="E2" s="9" t="str">
        <f>'All scales all studies'!T52</f>
        <v>X</v>
      </c>
      <c r="F2" s="9" t="str">
        <f>'All scales all studies'!U52</f>
        <v>X</v>
      </c>
      <c r="G2" s="9" t="str">
        <f>'All scales all studies'!V52</f>
        <v>X</v>
      </c>
    </row>
    <row r="3" spans="1:7">
      <c r="A3" t="str">
        <f>'All scales all studies'!A54</f>
        <v>Able to walk 1/2 mile (self-report)</v>
      </c>
      <c r="B3" t="str">
        <f>'All scales all studies'!L54</f>
        <v>X</v>
      </c>
      <c r="C3" s="9" t="str">
        <f>'All scales all studies'!R54</f>
        <v>X</v>
      </c>
      <c r="D3" s="9" t="str">
        <f>'All scales all studies'!S54</f>
        <v>X</v>
      </c>
      <c r="E3" s="9" t="str">
        <f>'All scales all studies'!T54</f>
        <v>X</v>
      </c>
      <c r="F3" s="9" t="str">
        <f>'All scales all studies'!U54</f>
        <v>X</v>
      </c>
      <c r="G3" s="9" t="str">
        <f>'All scales all studies'!V54</f>
        <v>X</v>
      </c>
    </row>
    <row r="4" spans="1:7">
      <c r="A4" t="str">
        <f>'All scales all studies'!A60</f>
        <v>Poor appetite</v>
      </c>
      <c r="B4" t="str">
        <f>'All scales all studies'!L60</f>
        <v>X</v>
      </c>
      <c r="C4" s="9" t="str">
        <f>'All scales all studies'!R60</f>
        <v>X</v>
      </c>
      <c r="D4" s="9" t="str">
        <f>'All scales all studies'!S60</f>
        <v>X</v>
      </c>
      <c r="E4" s="9" t="str">
        <f>'All scales all studies'!T60</f>
        <v>X</v>
      </c>
      <c r="F4" s="9" t="str">
        <f>'All scales all studies'!U60</f>
        <v>X</v>
      </c>
      <c r="G4" s="9" t="str">
        <f>'All scales all studies'!V60</f>
        <v>X</v>
      </c>
    </row>
    <row r="5" spans="1:7">
      <c r="A5" t="str">
        <f>'All scales all studies'!A61</f>
        <v>Tooth/mouth problems affect eating</v>
      </c>
      <c r="B5" t="str">
        <f>'All scales all studies'!L61</f>
        <v>X</v>
      </c>
      <c r="C5" s="9" t="str">
        <f>'All scales all studies'!R61</f>
        <v>X</v>
      </c>
      <c r="D5" s="9" t="str">
        <f>'All scales all studies'!S61</f>
        <v>X</v>
      </c>
      <c r="E5" s="9">
        <f>'All scales all studies'!T61</f>
        <v>0</v>
      </c>
      <c r="F5" s="9">
        <f>'All scales all studies'!U61</f>
        <v>0</v>
      </c>
      <c r="G5" s="9" t="str">
        <f>'All scales all studies'!V61</f>
        <v>X</v>
      </c>
    </row>
    <row r="6" spans="1:7">
      <c r="A6" t="str">
        <f>'All scales all studies'!A85</f>
        <v>Dressing</v>
      </c>
      <c r="B6" t="str">
        <f>'All scales all studies'!L85</f>
        <v>X</v>
      </c>
      <c r="C6" s="9" t="str">
        <f>'All scales all studies'!R85</f>
        <v>X</v>
      </c>
      <c r="D6" s="9" t="str">
        <f>'All scales all studies'!S85</f>
        <v>X</v>
      </c>
      <c r="E6" s="9" t="str">
        <f>'All scales all studies'!T85</f>
        <v>X</v>
      </c>
      <c r="F6" s="9">
        <f>'All scales all studies'!U85</f>
        <v>0</v>
      </c>
      <c r="G6" s="9">
        <f>'All scales all studies'!V85</f>
        <v>0</v>
      </c>
    </row>
    <row r="7" spans="1:7">
      <c r="A7" t="str">
        <f>'All scales all studies'!A86</f>
        <v>Bathing</v>
      </c>
      <c r="B7" t="str">
        <f>'All scales all studies'!L86</f>
        <v>X</v>
      </c>
      <c r="C7" s="9" t="str">
        <f>'All scales all studies'!R86</f>
        <v>X</v>
      </c>
      <c r="D7" s="9" t="str">
        <f>'All scales all studies'!S86</f>
        <v>X</v>
      </c>
      <c r="E7" s="9" t="str">
        <f>'All scales all studies'!T86</f>
        <v>X</v>
      </c>
      <c r="F7" s="9">
        <f>'All scales all studies'!U86</f>
        <v>0</v>
      </c>
      <c r="G7" s="9">
        <f>'All scales all studies'!V86</f>
        <v>0</v>
      </c>
    </row>
    <row r="8" spans="1:7">
      <c r="A8" t="str">
        <f>'All scales all studies'!A87</f>
        <v>Transferring</v>
      </c>
      <c r="B8" t="str">
        <f>'All scales all studies'!L87</f>
        <v>X</v>
      </c>
      <c r="C8" s="9" t="str">
        <f>'All scales all studies'!R87</f>
        <v>X</v>
      </c>
      <c r="D8" s="9" t="str">
        <f>'All scales all studies'!S87</f>
        <v>X</v>
      </c>
      <c r="E8" s="9" t="str">
        <f>'All scales all studies'!T87</f>
        <v>X</v>
      </c>
      <c r="F8" s="9">
        <f>'All scales all studies'!U87</f>
        <v>0</v>
      </c>
      <c r="G8" s="9">
        <f>'All scales all studies'!V87</f>
        <v>0</v>
      </c>
    </row>
    <row r="9" spans="1:7">
      <c r="A9" t="str">
        <f>'All scales all studies'!A88</f>
        <v>Toileting</v>
      </c>
      <c r="B9" t="str">
        <f>'All scales all studies'!L88</f>
        <v>X</v>
      </c>
      <c r="C9" s="9">
        <f>'All scales all studies'!R88</f>
        <v>0</v>
      </c>
      <c r="D9" s="9" t="str">
        <f>'All scales all studies'!S88</f>
        <v>X</v>
      </c>
      <c r="E9" s="9" t="str">
        <f>'All scales all studies'!T88</f>
        <v>X</v>
      </c>
      <c r="F9" s="9">
        <f>'All scales all studies'!U88</f>
        <v>0</v>
      </c>
      <c r="G9" s="9">
        <f>'All scales all studies'!V88</f>
        <v>0</v>
      </c>
    </row>
    <row r="10" spans="1:7">
      <c r="A10" t="str">
        <f>'All scales all studies'!A89</f>
        <v>Feeding</v>
      </c>
      <c r="B10" t="str">
        <f>'All scales all studies'!L89</f>
        <v>X</v>
      </c>
      <c r="C10" s="9" t="str">
        <f>'All scales all studies'!R89</f>
        <v>X</v>
      </c>
      <c r="D10" s="9" t="str">
        <f>'All scales all studies'!S89</f>
        <v>X</v>
      </c>
      <c r="E10" s="9" t="str">
        <f>'All scales all studies'!T89</f>
        <v>X</v>
      </c>
      <c r="F10" s="9">
        <f>'All scales all studies'!U89</f>
        <v>0</v>
      </c>
      <c r="G10" s="9">
        <f>'All scales all studies'!V89</f>
        <v>0</v>
      </c>
    </row>
    <row r="11" spans="1:7">
      <c r="A11" t="str">
        <f>'All scales all studies'!A90</f>
        <v>Bowel incontinence</v>
      </c>
      <c r="B11" t="str">
        <f>'All scales all studies'!L90</f>
        <v>X</v>
      </c>
      <c r="C11" s="9" t="str">
        <f>'All scales all studies'!R90</f>
        <v>X</v>
      </c>
      <c r="D11" s="9">
        <f>'All scales all studies'!S90</f>
        <v>0</v>
      </c>
      <c r="E11" s="9" t="str">
        <f>'All scales all studies'!T90</f>
        <v>X</v>
      </c>
      <c r="F11" s="9">
        <f>'All scales all studies'!U90</f>
        <v>0</v>
      </c>
      <c r="G11" s="9">
        <f>'All scales all studies'!V90</f>
        <v>0</v>
      </c>
    </row>
    <row r="12" spans="1:7">
      <c r="A12" t="str">
        <f>'All scales all studies'!A91</f>
        <v>Bladder incontinence</v>
      </c>
      <c r="B12" t="str">
        <f>'All scales all studies'!L91</f>
        <v>X</v>
      </c>
      <c r="C12" s="9" t="str">
        <f>'All scales all studies'!R91</f>
        <v>X</v>
      </c>
      <c r="D12" s="9" t="str">
        <f>'All scales all studies'!S91</f>
        <v>X</v>
      </c>
      <c r="E12" s="9" t="str">
        <f>'All scales all studies'!T91</f>
        <v>X</v>
      </c>
      <c r="F12" s="9">
        <f>'All scales all studies'!U91</f>
        <v>0</v>
      </c>
      <c r="G12" s="9">
        <f>'All scales all studies'!V91</f>
        <v>0</v>
      </c>
    </row>
    <row r="13" spans="1:7">
      <c r="C13" s="3">
        <f>COUNTIF(C2:C12,"X")/COUNTIF($B2:$B12,"X")</f>
        <v>0.90909090909090906</v>
      </c>
      <c r="D13" s="3">
        <f t="shared" ref="D13:G13" si="0">COUNTIF(D2:D12,"X")/COUNTIF($B2:$B12,"X")</f>
        <v>0.90909090909090906</v>
      </c>
      <c r="E13" s="3">
        <f t="shared" si="0"/>
        <v>0.90909090909090906</v>
      </c>
      <c r="F13" s="3">
        <f t="shared" si="0"/>
        <v>0.27272727272727271</v>
      </c>
      <c r="G13" s="3">
        <f t="shared" si="0"/>
        <v>0.36363636363636365</v>
      </c>
    </row>
  </sheetData>
  <conditionalFormatting sqref="C2:G12">
    <cfRule type="cellIs" dxfId="1" priority="1" operator="equal">
      <formula>0</formula>
    </cfRule>
    <cfRule type="cellIs" dxfId="0" priority="2" operator="equal">
      <formula>"X"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AC1C-73FC-1149-863A-3267D0920591}">
  <dimension ref="A1:C26"/>
  <sheetViews>
    <sheetView workbookViewId="0">
      <selection activeCell="H44" sqref="H44"/>
    </sheetView>
  </sheetViews>
  <sheetFormatPr baseColWidth="10" defaultRowHeight="16"/>
  <cols>
    <col min="2" max="2" width="16.33203125" customWidth="1"/>
    <col min="3" max="3" width="19.33203125" customWidth="1"/>
    <col min="6" max="6" width="14.6640625" customWidth="1"/>
  </cols>
  <sheetData>
    <row r="1" spans="1:3">
      <c r="B1" t="s">
        <v>1</v>
      </c>
      <c r="C1" t="s">
        <v>2</v>
      </c>
    </row>
    <row r="2" spans="1:3">
      <c r="A2" t="s">
        <v>0</v>
      </c>
    </row>
    <row r="3" spans="1:3">
      <c r="A3">
        <v>1</v>
      </c>
      <c r="B3" t="s">
        <v>12</v>
      </c>
      <c r="C3" t="s">
        <v>11</v>
      </c>
    </row>
    <row r="4" spans="1:3">
      <c r="A4">
        <v>3</v>
      </c>
      <c r="B4" t="s">
        <v>12</v>
      </c>
      <c r="C4" t="s">
        <v>11</v>
      </c>
    </row>
    <row r="5" spans="1:3">
      <c r="A5">
        <v>4</v>
      </c>
      <c r="B5" t="s">
        <v>12</v>
      </c>
      <c r="C5" t="s">
        <v>11</v>
      </c>
    </row>
    <row r="6" spans="1:3">
      <c r="A6">
        <v>5</v>
      </c>
      <c r="B6" t="s">
        <v>12</v>
      </c>
      <c r="C6" t="s">
        <v>11</v>
      </c>
    </row>
    <row r="7" spans="1:3">
      <c r="A7">
        <v>6</v>
      </c>
      <c r="B7" t="s">
        <v>12</v>
      </c>
      <c r="C7" t="s">
        <v>11</v>
      </c>
    </row>
    <row r="8" spans="1:3">
      <c r="A8">
        <v>11</v>
      </c>
      <c r="B8" t="s">
        <v>12</v>
      </c>
      <c r="C8" t="s">
        <v>11</v>
      </c>
    </row>
    <row r="9" spans="1:3">
      <c r="A9" t="s">
        <v>4</v>
      </c>
    </row>
    <row r="10" spans="1:3">
      <c r="A10">
        <v>27</v>
      </c>
      <c r="B10" t="s">
        <v>10</v>
      </c>
    </row>
    <row r="11" spans="1:3">
      <c r="A11">
        <v>28</v>
      </c>
      <c r="B11" t="s">
        <v>10</v>
      </c>
    </row>
    <row r="12" spans="1:3">
      <c r="A12">
        <v>29</v>
      </c>
      <c r="B12" t="s">
        <v>10</v>
      </c>
    </row>
    <row r="13" spans="1:3">
      <c r="A13">
        <v>30</v>
      </c>
      <c r="B13" t="s">
        <v>10</v>
      </c>
    </row>
    <row r="14" spans="1:3">
      <c r="A14">
        <v>31</v>
      </c>
      <c r="B14" t="s">
        <v>10</v>
      </c>
    </row>
    <row r="15" spans="1:3">
      <c r="A15" t="s">
        <v>5</v>
      </c>
    </row>
    <row r="16" spans="1:3">
      <c r="A16" s="1" t="s">
        <v>7</v>
      </c>
      <c r="B16" t="s">
        <v>10</v>
      </c>
    </row>
    <row r="17" spans="1:3">
      <c r="A17" t="s">
        <v>6</v>
      </c>
    </row>
    <row r="18" spans="1:3">
      <c r="A18">
        <v>1</v>
      </c>
      <c r="B18" t="s">
        <v>8</v>
      </c>
    </row>
    <row r="19" spans="1:3">
      <c r="A19">
        <v>3</v>
      </c>
      <c r="B19" t="s">
        <v>8</v>
      </c>
    </row>
    <row r="20" spans="1:3">
      <c r="A20">
        <v>4</v>
      </c>
      <c r="B20" t="s">
        <v>8</v>
      </c>
    </row>
    <row r="21" spans="1:3">
      <c r="A21">
        <v>5</v>
      </c>
      <c r="B21" t="s">
        <v>9</v>
      </c>
    </row>
    <row r="22" spans="1:3">
      <c r="A22" t="s">
        <v>13</v>
      </c>
    </row>
    <row r="23" spans="1:3">
      <c r="A23" t="s">
        <v>15</v>
      </c>
      <c r="B23" t="s">
        <v>14</v>
      </c>
      <c r="C23" t="s">
        <v>16</v>
      </c>
    </row>
    <row r="25" spans="1:3">
      <c r="A25" t="s">
        <v>17</v>
      </c>
    </row>
    <row r="26" spans="1:3">
      <c r="A26" t="s">
        <v>18</v>
      </c>
      <c r="B26" t="s">
        <v>14</v>
      </c>
      <c r="C26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220F-95B3-6546-BE51-A777BCF94B78}">
  <dimension ref="A1:F21"/>
  <sheetViews>
    <sheetView tabSelected="1" workbookViewId="0">
      <selection activeCell="A21" sqref="A21"/>
    </sheetView>
  </sheetViews>
  <sheetFormatPr baseColWidth="10" defaultRowHeight="16"/>
  <cols>
    <col min="1" max="1" width="61.5" customWidth="1"/>
  </cols>
  <sheetData>
    <row r="1" spans="1:6">
      <c r="B1" t="s">
        <v>13</v>
      </c>
      <c r="C1" t="s">
        <v>0</v>
      </c>
      <c r="D1" t="s">
        <v>3</v>
      </c>
      <c r="E1" t="s">
        <v>17</v>
      </c>
      <c r="F1" t="s">
        <v>6</v>
      </c>
    </row>
    <row r="2" spans="1:6">
      <c r="A2" t="s">
        <v>157</v>
      </c>
    </row>
    <row r="3" spans="1:6">
      <c r="A3" t="s">
        <v>158</v>
      </c>
    </row>
    <row r="4" spans="1:6">
      <c r="A4" t="s">
        <v>159</v>
      </c>
    </row>
    <row r="5" spans="1:6">
      <c r="A5" t="s">
        <v>160</v>
      </c>
    </row>
    <row r="6" spans="1:6">
      <c r="A6" t="s">
        <v>161</v>
      </c>
    </row>
    <row r="7" spans="1:6">
      <c r="A7" t="s">
        <v>162</v>
      </c>
    </row>
    <row r="8" spans="1:6">
      <c r="A8" t="s">
        <v>163</v>
      </c>
    </row>
    <row r="9" spans="1:6">
      <c r="A9" t="s">
        <v>164</v>
      </c>
    </row>
    <row r="10" spans="1:6">
      <c r="A10" t="s">
        <v>165</v>
      </c>
    </row>
    <row r="11" spans="1:6">
      <c r="A11" t="s">
        <v>166</v>
      </c>
    </row>
    <row r="13" spans="1:6">
      <c r="A13" t="s">
        <v>167</v>
      </c>
      <c r="B13">
        <v>3</v>
      </c>
    </row>
    <row r="14" spans="1:6">
      <c r="A14" t="s">
        <v>168</v>
      </c>
      <c r="B14">
        <v>2</v>
      </c>
    </row>
    <row r="15" spans="1:6">
      <c r="A15" t="s">
        <v>169</v>
      </c>
      <c r="B15">
        <v>1</v>
      </c>
    </row>
    <row r="16" spans="1:6">
      <c r="A16" t="s">
        <v>170</v>
      </c>
      <c r="B16">
        <v>0</v>
      </c>
    </row>
    <row r="17" spans="1:1">
      <c r="A17" t="s">
        <v>171</v>
      </c>
    </row>
    <row r="18" spans="1:1">
      <c r="A18" t="s">
        <v>172</v>
      </c>
    </row>
    <row r="20" spans="1:1">
      <c r="A20" s="18" t="s">
        <v>173</v>
      </c>
    </row>
    <row r="21" spans="1:1">
      <c r="A21" s="1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Scale completeness</vt:lpstr>
      <vt:lpstr>All scales all studies</vt:lpstr>
      <vt:lpstr>Brim</vt:lpstr>
      <vt:lpstr>CHS Scores</vt:lpstr>
      <vt:lpstr>ISEL</vt:lpstr>
      <vt:lpstr>HALFt</vt:lpstr>
      <vt:lpstr>ESSI</vt:lpstr>
      <vt:lpstr>BSNI</vt:lpstr>
      <vt:lpstr>Makizako</vt:lpstr>
      <vt:lpstr>Lubben SNS</vt:lpstr>
      <vt:lpstr>FRAIL</vt:lpstr>
      <vt:lpstr>Fried</vt:lpstr>
      <vt:lpstr>Rockwood</vt:lpstr>
      <vt:lpstr>Tilburg</vt:lpstr>
      <vt:lpstr>FIFE</vt:lpstr>
      <vt:lpstr>Barthe</vt:lpstr>
      <vt:lpstr>Scales + visits</vt:lpstr>
      <vt:lpstr>Functional activities qstnre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Kao, David</dc:creator>
  <cp:lastModifiedBy>Kao, David</cp:lastModifiedBy>
  <dcterms:created xsi:type="dcterms:W3CDTF">2023-08-28T12:23:22Z</dcterms:created>
  <dcterms:modified xsi:type="dcterms:W3CDTF">2025-01-28T21:39:26Z</dcterms:modified>
</cp:coreProperties>
</file>